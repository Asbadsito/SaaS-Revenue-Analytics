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olors3.xml" ContentType="application/vnd.ms-office.chartcolorstyle+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hart3.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3.xml" ContentType="application/vnd.ms-office.chartstyle+xml"/>
  <Override PartName="/xl/charts/chart4.xml" ContentType="application/vnd.openxmlformats-officedocument.drawingml.chart+xml"/>
  <Override PartName="/xl/charts/colors5.xml" ContentType="application/vnd.ms-office.chartcolorstyle+xml"/>
  <Override PartName="/xl/charts/style4.xml" ContentType="application/vnd.ms-office.chartstyle+xml"/>
  <Override PartName="/xl/charts/style5.xml" ContentType="application/vnd.ms-office.chartstyle+xml"/>
  <Override PartName="/xl/charts/colors4.xml" ContentType="application/vnd.ms-office.chartcolorstyle+xml"/>
  <Override PartName="/xl/charts/chart5.xml" ContentType="application/vnd.openxmlformats-officedocument.drawingml.chart+xml"/>
  <Override PartName="/xl/workbook.xml" ContentType="application/vnd.openxmlformats-officedocument.spreadsheetml.sheet.main+xml"/>
  <Override PartName="/xl/theme/theme1.xml" ContentType="application/vnd.openxmlformats-officedocument.theme+xml"/>
  <Override PartName="/xl/pivotTables/pivotTable2.xml" ContentType="application/vnd.openxmlformats-officedocument.spreadsheetml.pivotTable+xml"/>
  <Override PartName="/xl/pivotTables/pivotTable1.xml" ContentType="application/vnd.openxmlformats-officedocument.spreadsheetml.pivotTable+xml"/>
  <Override PartName="/xl/sharedStrings.xml" ContentType="application/vnd.openxmlformats-officedocument.spreadsheetml.sharedString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 Dashboard" sheetId="1" state="visible" r:id="rId3"/>
    <sheet name="revenue" sheetId="2" state="visible" r:id="rId4"/>
    <sheet name="churn_users" sheetId="3" state="visible" r:id="rId5"/>
    <sheet name="subscription" sheetId="4" state="visible" r:id="rId6"/>
    <sheet name="top_users" sheetId="5" state="visible" r:id="rId7"/>
    <sheet name="Pivot Table_top_users_2" sheetId="6" state="visible" r:id="rId8"/>
    <sheet name="Pivot Table_top_users_1" sheetId="7" state="visible" r:id="rId9"/>
  </sheets>
  <calcPr iterateCount="100" refMode="A1" iterate="false" iterateDelta="0.001"/>
  <pivotCaches>
    <pivotCache cacheId="1" r:id="rId11"/>
  </pivotCaches>
  <extLst>
    <ext xmlns:loext="http://schemas.libreoffice.org/" uri="{7626C862-2A13-11E5-B345-FEFF819CDC9F}">
      <loext:extCalcPr stringRefSyntax="CalcA1"/>
    </ext>
  </extLst>
</workbook>
</file>

<file path=xl/sharedStrings.xml><?xml version="1.0" encoding="utf-8"?>
<sst xmlns="http://schemas.openxmlformats.org/spreadsheetml/2006/main" count="302" uniqueCount="130">
  <si>
    <t xml:space="preserve">GLOBAL SUBSCRIBER ANALYTICS &amp; REVENUE BRIEF </t>
  </si>
  <si>
    <r>
      <rPr>
        <b val="true"/>
        <i val="true"/>
        <sz val="10"/>
        <rFont val="Times New Roman"/>
        <family val="1"/>
      </rPr>
      <t xml:space="preserve">DATA PRIVACY &amp; GOVERNANCE COMPLIANCE NOTE*</t>
    </r>
    <r>
      <rPr>
        <sz val="10"/>
        <rFont val="Times New Roman"/>
        <family val="1"/>
      </rPr>
      <t xml:space="preserve"> This executive report utilizes synthetic, localised datasets structured within a relational PostgreSQL environment to simulate industry-standard business operations as a SaaS service model. In compliance with data protection regulations, including the UK General Data Protection Regulation (UK GDPR) and data governance best practices, all transactional metrics, corporate records, and personal identifying information (PII) are entirely manufactured. No real-world public data or proprietary enterprise information is reflected herein; all records are generated solely for analytical modeling, system validation, and reporting consistency. </t>
    </r>
  </si>
  <si>
    <t xml:space="preserve">REVENUE BY GEOGRAPHIC LOCATION</t>
  </si>
  <si>
    <r>
      <rPr>
        <b val="true"/>
        <i val="true"/>
        <sz val="11"/>
        <rFont val="Times New Roman"/>
        <family val="1"/>
        <charset val="1"/>
      </rPr>
      <t xml:space="preserve">               Regional Market Optimization &amp; Capital Allocation</t>
    </r>
    <r>
      <rPr>
        <sz val="11"/>
        <rFont val="Times New Roman"/>
        <family val="1"/>
        <charset val="1"/>
      </rPr>
      <t xml:space="preserve">:                                                                                                                                                                                                                                                                                           A comparative analysis of global revenue performance identifies Central Europe (Germany and the UK) as our core financial anchor, demonstrating the highest customer lifetime value. To maximize ROI, strategic marketing initiatives and localised advertising expenditures should be aggressively scaled within the North American corridor (United States and Canada) to capitalize on their expanding user base. Conversely, customer acquisition cost (CAC) frameworks in lower-performing regions, such as Spain, should be systematically optimized or reduced, reallocating those capital expenditures toward high-yield, high-velocity target markets to drive optimal global scalability </t>
    </r>
  </si>
  <si>
    <t xml:space="preserve">Country</t>
  </si>
  <si>
    <t xml:space="preserve">Total Revenue</t>
  </si>
  <si>
    <t xml:space="preserve">Spain</t>
  </si>
  <si>
    <t xml:space="preserve">United States</t>
  </si>
  <si>
    <t xml:space="preserve">United Kingdom</t>
  </si>
  <si>
    <t xml:space="preserve">Canada</t>
  </si>
  <si>
    <t xml:space="preserve">Germany</t>
  </si>
  <si>
    <t xml:space="preserve">BUSINESS HEALTH : Subscription Churn  &amp; Tier Information</t>
  </si>
  <si>
    <r>
      <rPr>
        <b val="true"/>
        <sz val="10"/>
        <rFont val="Times New Roman"/>
        <family val="1"/>
      </rPr>
      <t xml:space="preserve">Subscription Architecture &amp; Revenue Optimization Analysis</t>
    </r>
    <r>
      <rPr>
        <sz val="10"/>
        <rFont val="Times New Roman"/>
        <family val="1"/>
      </rPr>
      <t xml:space="preserve">:                           A comparative assessment of subscription models reveals a critical analytical divergence: while transaction volumes remain remarkably uniform across all packages,with a minor delta of only 63 orders separating the highest and lowest tiers, order volume alone fails to provide a meaningful KPI for product performance. To expose the true commercial impact, a secondary financial aggregation was applied, revealing that the premium tier (£49.99) serves as our primary growth engine, generating £25,144.97. This represents an absolute outperformance relative to lower tiers, capturing nearly double the financial yield of the £29.99 mid-tier (£15,894.70) and more than triple the baseline £14.99 tier (£7,000.33). Consequently, data indicates strong consumer willingness to absorb premium price points instead of the lowest subscription model.</t>
    </r>
  </si>
  <si>
    <t xml:space="preserve">Account Status</t>
  </si>
  <si>
    <t xml:space="preserve">Total Users</t>
  </si>
  <si>
    <t xml:space="preserve">Percentage</t>
  </si>
  <si>
    <r>
      <rPr>
        <b val="true"/>
        <sz val="11"/>
        <rFont val="Times New Roman"/>
        <family val="1"/>
      </rPr>
      <t xml:space="preserve">Customer Retention &amp; Business Health Metrics</t>
    </r>
    <r>
      <rPr>
        <sz val="10"/>
        <rFont val="Times New Roman"/>
        <family val="1"/>
      </rPr>
      <t xml:space="preserve">:                                                                                                                                                         </t>
    </r>
    <r>
      <rPr>
        <sz val="10.5"/>
        <rFont val="Times New Roman"/>
        <family val="1"/>
      </rPr>
      <t xml:space="preserve">Out of our total user base, 742 accounts remain actively engaged, while 258 accounts have transitioned to cancelled status, representing an operational churn rate of 25.8%. While our active core demonstrates strong product-market fit, a 25.8% subscription loss indicates an immediate need to investigate our early-stage onboarding funnel. Implementing proactive feedback loops during the cancellation process will allow us to identify user friction points, stabilise recurring revenue, and protect our long-term customer lifetime value. The main recommendation would be surveys and community engagement for better understanding, including future reports on specific data on those 252 users.</t>
    </r>
  </si>
  <si>
    <t xml:space="preserve">Subscription Tier</t>
  </si>
  <si>
    <t xml:space="preserve">Total Orders</t>
  </si>
  <si>
    <t xml:space="preserve">Cancelled</t>
  </si>
  <si>
    <t xml:space="preserve">Active</t>
  </si>
  <si>
    <t xml:space="preserve">Total</t>
  </si>
  <si>
    <t xml:space="preserve">TOTAL SPENT BY TOP USERS: Information &amp; Leaderboard</t>
  </si>
  <si>
    <t xml:space="preserve">FULL NAME </t>
  </si>
  <si>
    <t xml:space="preserve">User Id</t>
  </si>
  <si>
    <t xml:space="preserve">Total Spent</t>
  </si>
  <si>
    <t xml:space="preserve">Total Spent Users</t>
  </si>
  <si>
    <t xml:space="preserve">Oliver Wright</t>
  </si>
  <si>
    <t xml:space="preserve">Samuel Hall</t>
  </si>
  <si>
    <t xml:space="preserve">Henry Roberts</t>
  </si>
  <si>
    <t xml:space="preserve">Jack Brown</t>
  </si>
  <si>
    <t xml:space="preserve">Lucas Jones</t>
  </si>
  <si>
    <t xml:space="preserve">Benjamin Wilson</t>
  </si>
  <si>
    <t xml:space="preserve">Total Result</t>
  </si>
  <si>
    <t xml:space="preserve">Sebastian Davies</t>
  </si>
  <si>
    <t xml:space="preserve">Elijah Evans</t>
  </si>
  <si>
    <t xml:space="preserve">Benjamin Hall</t>
  </si>
  <si>
    <t xml:space="preserve">Alexander Brown</t>
  </si>
  <si>
    <r>
      <rPr>
        <b val="true"/>
        <sz val="11"/>
        <rFont val="Times New Roman"/>
        <family val="1"/>
      </rPr>
      <t xml:space="preserve">     High-Value Customer Retention &amp; Targeted Acquisition Strategy</t>
    </r>
    <r>
      <rPr>
        <sz val="11"/>
        <rFont val="Times New Roman"/>
        <family val="1"/>
      </rPr>
      <t xml:space="preserve">:                                                                                                                          A synchronised evaluation of our global consumer base , contrasting our top 100 high-earning accounts with our absolute Top 10 VIP individuals reveals a significant concentration of enterprise value within specific geographic corridors. While our macro data highlights the regional markets driving bulk revenue, our micro leaderboard identifies the precise consumer profile responsible for our peak customer lifetime value (LTV). To maximise recurring revenue stability, growth marketing frameworks must pivot from broad, untargeted campaigns toward hyper-personalised loyalty programs and exclusive product offers tailored directly to these high-yield segments. By utilising lookalike audience modeling based on this elite cohort, future acquisition budgets can be systematically optimised to target high-intent users in our top-performing countries, drastically increasing conversion velocity and protecting long-term business health specifically targetting information and marketing strategies according to data collected from these top 10 users. </t>
    </r>
  </si>
  <si>
    <t xml:space="preserve">This information provides the total amount spent by the TOP 100 users in terms of revenue by country</t>
  </si>
  <si>
    <t xml:space="preserve">Report compiled by Aswad Syed Naz | Data Analytics &amp; Growth Strategy | Confidential Enterprise Deliverable of SaaS subscription  </t>
  </si>
  <si>
    <t xml:space="preserve">Total users</t>
  </si>
  <si>
    <t xml:space="preserve">total_revenue</t>
  </si>
  <si>
    <t xml:space="preserve">account_status</t>
  </si>
  <si>
    <t xml:space="preserve">total_users</t>
  </si>
  <si>
    <t xml:space="preserve">subscription_tier</t>
  </si>
  <si>
    <t xml:space="preserve">total_orders</t>
  </si>
  <si>
    <t xml:space="preserve">user_id</t>
  </si>
  <si>
    <t xml:space="preserve">full_name</t>
  </si>
  <si>
    <t xml:space="preserve">Michael Walker</t>
  </si>
  <si>
    <t xml:space="preserve">Noah Hall</t>
  </si>
  <si>
    <t xml:space="preserve">Benjamin Clarke</t>
  </si>
  <si>
    <t xml:space="preserve">Noah Clarke</t>
  </si>
  <si>
    <t xml:space="preserve">Noah Johnson</t>
  </si>
  <si>
    <t xml:space="preserve">Elijah Wood</t>
  </si>
  <si>
    <t xml:space="preserve">Benjamin Taylor</t>
  </si>
  <si>
    <t xml:space="preserve">Henry Johnson</t>
  </si>
  <si>
    <t xml:space="preserve">Noah Evans</t>
  </si>
  <si>
    <t xml:space="preserve">Sebastian Smith</t>
  </si>
  <si>
    <t xml:space="preserve">James Johnson</t>
  </si>
  <si>
    <t xml:space="preserve">Mateo Williams</t>
  </si>
  <si>
    <t xml:space="preserve">Elijah Hall</t>
  </si>
  <si>
    <t xml:space="preserve">Alexander Johnson</t>
  </si>
  <si>
    <t xml:space="preserve">William Evans</t>
  </si>
  <si>
    <t xml:space="preserve">Mateo Walker</t>
  </si>
  <si>
    <t xml:space="preserve">Lucas Robinson</t>
  </si>
  <si>
    <t xml:space="preserve">Owen Taylor</t>
  </si>
  <si>
    <t xml:space="preserve">Mateo Thompson</t>
  </si>
  <si>
    <t xml:space="preserve">Theodore Johnson</t>
  </si>
  <si>
    <t xml:space="preserve">Daniel Robinson</t>
  </si>
  <si>
    <t xml:space="preserve">Theodore Hall</t>
  </si>
  <si>
    <t xml:space="preserve">Daniel Wood</t>
  </si>
  <si>
    <t xml:space="preserve">Liam Jackson</t>
  </si>
  <si>
    <t xml:space="preserve">James Davies</t>
  </si>
  <si>
    <t xml:space="preserve">Oliver Hall</t>
  </si>
  <si>
    <t xml:space="preserve">Henry White</t>
  </si>
  <si>
    <t xml:space="preserve">Sebastian Walker</t>
  </si>
  <si>
    <t xml:space="preserve">James Wright</t>
  </si>
  <si>
    <t xml:space="preserve">Noah Green</t>
  </si>
  <si>
    <t xml:space="preserve">Sebastian Evans</t>
  </si>
  <si>
    <t xml:space="preserve">Jack Evans</t>
  </si>
  <si>
    <t xml:space="preserve">Henry Brown</t>
  </si>
  <si>
    <t xml:space="preserve">William Clarke</t>
  </si>
  <si>
    <t xml:space="preserve">Liam Smith</t>
  </si>
  <si>
    <t xml:space="preserve">Benjamin Robinson</t>
  </si>
  <si>
    <t xml:space="preserve">Michael Clarke</t>
  </si>
  <si>
    <t xml:space="preserve">Jack Thompson</t>
  </si>
  <si>
    <t xml:space="preserve">Owen White</t>
  </si>
  <si>
    <t xml:space="preserve">Theodore Clarke</t>
  </si>
  <si>
    <t xml:space="preserve">Daniel Hall</t>
  </si>
  <si>
    <t xml:space="preserve">Jack Williams</t>
  </si>
  <si>
    <t xml:space="preserve">Elijah Wilson</t>
  </si>
  <si>
    <t xml:space="preserve">Alexander Wilson</t>
  </si>
  <si>
    <t xml:space="preserve">Daniel Brown</t>
  </si>
  <si>
    <t xml:space="preserve">Mateo Johnson</t>
  </si>
  <si>
    <t xml:space="preserve">Benjamin Roberts</t>
  </si>
  <si>
    <t xml:space="preserve">Noah Wright</t>
  </si>
  <si>
    <t xml:space="preserve">Sebastian Taylor</t>
  </si>
  <si>
    <t xml:space="preserve">Jack Hall</t>
  </si>
  <si>
    <t xml:space="preserve">Owen Brown</t>
  </si>
  <si>
    <t xml:space="preserve">Daniel Evans</t>
  </si>
  <si>
    <t xml:space="preserve">James White</t>
  </si>
  <si>
    <t xml:space="preserve">Lucas Walker</t>
  </si>
  <si>
    <t xml:space="preserve">Jack Smith</t>
  </si>
  <si>
    <t xml:space="preserve">Daniel Wright</t>
  </si>
  <si>
    <t xml:space="preserve">Henry Thompson</t>
  </si>
  <si>
    <t xml:space="preserve">Jack Wilson</t>
  </si>
  <si>
    <t xml:space="preserve">Asher White</t>
  </si>
  <si>
    <t xml:space="preserve">Samuel Williams</t>
  </si>
  <si>
    <t xml:space="preserve">Asher Wright</t>
  </si>
  <si>
    <t xml:space="preserve">Jack Taylor</t>
  </si>
  <si>
    <t xml:space="preserve">Lucas Brown</t>
  </si>
  <si>
    <t xml:space="preserve">William Wright</t>
  </si>
  <si>
    <t xml:space="preserve">Samuel Wright</t>
  </si>
  <si>
    <t xml:space="preserve">Liam Jones</t>
  </si>
  <si>
    <t xml:space="preserve">Levi Roberts</t>
  </si>
  <si>
    <t xml:space="preserve">Mateo Green</t>
  </si>
  <si>
    <t xml:space="preserve">Daniel Davies</t>
  </si>
  <si>
    <t xml:space="preserve">Oliver Williams</t>
  </si>
  <si>
    <t xml:space="preserve">Alexander Jackson</t>
  </si>
  <si>
    <t xml:space="preserve">Liam Johnson</t>
  </si>
  <si>
    <t xml:space="preserve">Benjamin Evans</t>
  </si>
  <si>
    <t xml:space="preserve">William Williams</t>
  </si>
  <si>
    <t xml:space="preserve">Noah Jackson</t>
  </si>
  <si>
    <t xml:space="preserve">Owen Jackson</t>
  </si>
  <si>
    <t xml:space="preserve">Daniel Taylor</t>
  </si>
  <si>
    <t xml:space="preserve">Liam White</t>
  </si>
  <si>
    <t xml:space="preserve">Levi Johnson</t>
  </si>
  <si>
    <t xml:space="preserve">Sum - Total Spent</t>
  </si>
  <si>
    <t xml:space="preserve">(empty)</t>
  </si>
</sst>
</file>

<file path=xl/styles.xml><?xml version="1.0" encoding="utf-8"?>
<styleSheet xmlns="http://schemas.openxmlformats.org/spreadsheetml/2006/main">
  <numFmts count="3">
    <numFmt numFmtId="164" formatCode="General"/>
    <numFmt numFmtId="165" formatCode="[$£-809]#,##0.00;[RED]\-[$£-809]#,##0.00"/>
    <numFmt numFmtId="166" formatCode="0.00%"/>
  </numFmts>
  <fonts count="24">
    <font>
      <sz val="10"/>
      <name val="Arial"/>
      <family val="2"/>
    </font>
    <font>
      <sz val="10"/>
      <name val="Arial"/>
      <family val="0"/>
    </font>
    <font>
      <sz val="10"/>
      <name val="Arial"/>
      <family val="0"/>
    </font>
    <font>
      <sz val="10"/>
      <name val="Arial"/>
      <family val="0"/>
    </font>
    <font>
      <b val="true"/>
      <sz val="10"/>
      <name val="Arial"/>
      <family val="2"/>
    </font>
    <font>
      <b val="true"/>
      <sz val="20"/>
      <name val="Arial"/>
      <family val="2"/>
    </font>
    <font>
      <b val="true"/>
      <i val="true"/>
      <sz val="10"/>
      <name val="Times New Roman"/>
      <family val="1"/>
    </font>
    <font>
      <sz val="10"/>
      <name val="Times New Roman"/>
      <family val="1"/>
    </font>
    <font>
      <b val="true"/>
      <i val="true"/>
      <u val="single"/>
      <sz val="16"/>
      <name val="Times New Roman"/>
      <family val="1"/>
      <charset val="1"/>
    </font>
    <font>
      <b val="true"/>
      <i val="true"/>
      <sz val="11"/>
      <name val="Times New Roman"/>
      <family val="1"/>
      <charset val="1"/>
    </font>
    <font>
      <sz val="11"/>
      <name val="Times New Roman"/>
      <family val="1"/>
      <charset val="1"/>
    </font>
    <font>
      <b val="true"/>
      <i val="true"/>
      <sz val="9"/>
      <name val="Arial"/>
      <family val="2"/>
    </font>
    <font>
      <b val="true"/>
      <i val="true"/>
      <u val="single"/>
      <sz val="15"/>
      <name val="Times New Roman"/>
      <family val="1"/>
    </font>
    <font>
      <b val="true"/>
      <sz val="10"/>
      <name val="Times New Roman"/>
      <family val="1"/>
    </font>
    <font>
      <b val="true"/>
      <sz val="11"/>
      <name val="Times New Roman"/>
      <family val="1"/>
    </font>
    <font>
      <sz val="10.5"/>
      <name val="Times New Roman"/>
      <family val="1"/>
    </font>
    <font>
      <b val="true"/>
      <i val="true"/>
      <u val="single"/>
      <sz val="15"/>
      <name val="Times New Roman"/>
      <family val="1"/>
      <charset val="1"/>
    </font>
    <font>
      <b val="true"/>
      <i val="true"/>
      <sz val="10"/>
      <name val="Arial"/>
      <family val="2"/>
    </font>
    <font>
      <sz val="11"/>
      <name val="Times New Roman"/>
      <family val="1"/>
    </font>
    <font>
      <b val="true"/>
      <i val="true"/>
      <u val="single"/>
      <sz val="10"/>
      <name val="Times New Roman"/>
      <family val="1"/>
    </font>
    <font>
      <b val="true"/>
      <sz val="11"/>
      <name val="Arial"/>
      <family val="2"/>
    </font>
    <font>
      <b val="true"/>
      <sz val="9"/>
      <name val="Arial"/>
      <family val="2"/>
    </font>
    <font>
      <sz val="8"/>
      <name val="Arial"/>
      <family val="2"/>
    </font>
    <font>
      <sz val="13"/>
      <name val="Arial"/>
      <family val="2"/>
    </font>
  </fonts>
  <fills count="4">
    <fill>
      <patternFill patternType="none"/>
    </fill>
    <fill>
      <patternFill patternType="gray125"/>
    </fill>
    <fill>
      <patternFill patternType="solid">
        <fgColor rgb="FFFFFFFF"/>
        <bgColor rgb="FFFFFFCC"/>
      </patternFill>
    </fill>
    <fill>
      <patternFill patternType="solid">
        <fgColor rgb="FF023F62"/>
        <bgColor rgb="FF004586"/>
      </patternFill>
    </fill>
  </fills>
  <borders count="49">
    <border diagonalUp="false" diagonalDown="false">
      <left/>
      <right/>
      <top/>
      <bottom/>
      <diagonal/>
    </border>
    <border diagonalUp="false" diagonalDown="false">
      <left/>
      <right style="thin">
        <color rgb="FFB3B3B3"/>
      </right>
      <top/>
      <bottom style="thin">
        <color rgb="FFB3B3B3"/>
      </bottom>
      <diagonal/>
    </border>
    <border diagonalUp="false" diagonalDown="false">
      <left style="thin">
        <color rgb="FFB3B3B3"/>
      </left>
      <right/>
      <top/>
      <bottom style="thin">
        <color rgb="FFB3B3B3"/>
      </bottom>
      <diagonal/>
    </border>
    <border diagonalUp="false" diagonalDown="false">
      <left/>
      <right style="thin">
        <color rgb="FFB3B3B3"/>
      </right>
      <top style="thin">
        <color rgb="FFB3B3B3"/>
      </top>
      <bottom style="thin">
        <color rgb="FFB3B3B3"/>
      </bottom>
      <diagonal/>
    </border>
    <border diagonalUp="false" diagonalDown="false">
      <left style="thin">
        <color rgb="FFB3B3B3"/>
      </left>
      <right/>
      <top style="thin">
        <color rgb="FFB3B3B3"/>
      </top>
      <bottom style="thin">
        <color rgb="FFB3B3B3"/>
      </bottom>
      <diagonal/>
    </border>
    <border diagonalUp="false" diagonalDown="false">
      <left/>
      <right style="thin">
        <color rgb="FFB3B3B3"/>
      </right>
      <top style="thin">
        <color rgb="FFB3B3B3"/>
      </top>
      <bottom/>
      <diagonal/>
    </border>
    <border diagonalUp="false" diagonalDown="false">
      <left style="thin">
        <color rgb="FFB3B3B3"/>
      </left>
      <right/>
      <top style="thin">
        <color rgb="FFB3B3B3"/>
      </top>
      <bottom/>
      <diagonal/>
    </border>
    <border diagonalUp="false" diagonalDown="false">
      <left/>
      <right style="thin">
        <color rgb="FFBAB8B8"/>
      </right>
      <top/>
      <bottom style="thin">
        <color rgb="FFBAB8B8"/>
      </bottom>
      <diagonal/>
    </border>
    <border diagonalUp="false" diagonalDown="false">
      <left style="thin">
        <color rgb="FFBAB8B8"/>
      </left>
      <right style="thin">
        <color rgb="FFBAB8B8"/>
      </right>
      <top/>
      <bottom style="thin">
        <color rgb="FFBAB8B8"/>
      </bottom>
      <diagonal/>
    </border>
    <border diagonalUp="false" diagonalDown="false">
      <left style="thin">
        <color rgb="FFBAB8B8"/>
      </left>
      <right/>
      <top/>
      <bottom style="thin">
        <color rgb="FFBAB8B8"/>
      </bottom>
      <diagonal/>
    </border>
    <border diagonalUp="false" diagonalDown="false">
      <left/>
      <right/>
      <top/>
      <bottom style="thin">
        <color rgb="FFBAB8B8"/>
      </bottom>
      <diagonal/>
    </border>
    <border diagonalUp="false" diagonalDown="false">
      <left/>
      <right style="thin">
        <color rgb="FFBAB8B8"/>
      </right>
      <top style="thin">
        <color rgb="FFBAB8B8"/>
      </top>
      <bottom style="thin">
        <color rgb="FFBAB8B8"/>
      </bottom>
      <diagonal/>
    </border>
    <border diagonalUp="false" diagonalDown="false">
      <left style="thin">
        <color rgb="FFBAB8B8"/>
      </left>
      <right style="thin">
        <color rgb="FFBAB8B8"/>
      </right>
      <top style="thin">
        <color rgb="FFBAB8B8"/>
      </top>
      <bottom style="thin">
        <color rgb="FFBAB8B8"/>
      </bottom>
      <diagonal/>
    </border>
    <border diagonalUp="false" diagonalDown="false">
      <left style="thin">
        <color rgb="FFBAB8B8"/>
      </left>
      <right/>
      <top style="thin">
        <color rgb="FFBAB8B8"/>
      </top>
      <bottom style="thin">
        <color rgb="FFBAB8B8"/>
      </bottom>
      <diagonal/>
    </border>
    <border diagonalUp="false" diagonalDown="false">
      <left/>
      <right/>
      <top style="thin">
        <color rgb="FFBAB8B8"/>
      </top>
      <bottom style="thin">
        <color rgb="FFBAB8B8"/>
      </bottom>
      <diagonal/>
    </border>
    <border diagonalUp="false" diagonalDown="false">
      <left/>
      <right style="thin">
        <color rgb="FFBAB8B8"/>
      </right>
      <top style="thin">
        <color rgb="FFBAB8B8"/>
      </top>
      <bottom/>
      <diagonal/>
    </border>
    <border diagonalUp="false" diagonalDown="false">
      <left style="thin">
        <color rgb="FFBAB8B8"/>
      </left>
      <right style="thin">
        <color rgb="FFBAB8B8"/>
      </right>
      <top style="thin">
        <color rgb="FFBAB8B8"/>
      </top>
      <bottom/>
      <diagonal/>
    </border>
    <border diagonalUp="false" diagonalDown="false">
      <left style="thin">
        <color rgb="FFBAB8B8"/>
      </left>
      <right/>
      <top style="thin">
        <color rgb="FFBAB8B8"/>
      </top>
      <bottom/>
      <diagonal/>
    </border>
    <border diagonalUp="false" diagonalDown="false">
      <left/>
      <right/>
      <top style="thin">
        <color rgb="FFBAB8B8"/>
      </top>
      <bottom/>
      <diagonal/>
    </border>
    <border diagonalUp="false" diagonalDown="false">
      <left/>
      <right/>
      <top/>
      <bottom style="thin">
        <color rgb="FFA7A7A7"/>
      </bottom>
      <diagonal/>
    </border>
    <border diagonalUp="false" diagonalDown="false">
      <left/>
      <right style="thin"/>
      <top/>
      <bottom style="thin">
        <color rgb="FFBAB8B8"/>
      </bottom>
      <diagonal/>
    </border>
    <border diagonalUp="false" diagonalDown="false">
      <left style="thin"/>
      <right/>
      <top/>
      <bottom style="thin">
        <color rgb="FFBAB8B8"/>
      </bottom>
      <diagonal/>
    </border>
    <border diagonalUp="false" diagonalDown="false">
      <left/>
      <right style="thin"/>
      <top style="thin">
        <color rgb="FFA7A7A7"/>
      </top>
      <bottom style="thin">
        <color rgb="FFA7A7A7"/>
      </bottom>
      <diagonal/>
    </border>
    <border diagonalUp="false" diagonalDown="false">
      <left style="thin"/>
      <right style="thin"/>
      <top style="thin">
        <color rgb="FFA7A7A7"/>
      </top>
      <bottom style="thin">
        <color rgb="FFA7A7A7"/>
      </bottom>
      <diagonal/>
    </border>
    <border diagonalUp="false" diagonalDown="false">
      <left style="thin"/>
      <right/>
      <top style="thin">
        <color rgb="FFA7A7A7"/>
      </top>
      <bottom style="thin">
        <color rgb="FFA7A7A7"/>
      </bottom>
      <diagonal/>
    </border>
    <border diagonalUp="false" diagonalDown="false">
      <left/>
      <right style="thin"/>
      <top style="thin">
        <color rgb="FFBAB8B8"/>
      </top>
      <bottom style="thin">
        <color rgb="FFBAB8B8"/>
      </bottom>
      <diagonal/>
    </border>
    <border diagonalUp="false" diagonalDown="false">
      <left style="thin"/>
      <right/>
      <top style="thin">
        <color rgb="FFBAB8B8"/>
      </top>
      <bottom style="thin">
        <color rgb="FFBAB8B8"/>
      </bottom>
      <diagonal/>
    </border>
    <border diagonalUp="false" diagonalDown="false">
      <left/>
      <right style="thin"/>
      <top style="thin">
        <color rgb="FFBAB8B8"/>
      </top>
      <bottom/>
      <diagonal/>
    </border>
    <border diagonalUp="false" diagonalDown="false">
      <left style="thin"/>
      <right/>
      <top style="thin">
        <color rgb="FFBAB8B8"/>
      </top>
      <bottom/>
      <diagonal/>
    </border>
    <border diagonalUp="false" diagonalDown="false">
      <left/>
      <right style="thin"/>
      <top style="thin">
        <color rgb="FFA7A7A7"/>
      </top>
      <bottom/>
      <diagonal/>
    </border>
    <border diagonalUp="false" diagonalDown="false">
      <left style="thin"/>
      <right style="thin"/>
      <top style="thin">
        <color rgb="FFA7A7A7"/>
      </top>
      <bottom/>
      <diagonal/>
    </border>
    <border diagonalUp="false" diagonalDown="false">
      <left style="thin"/>
      <right/>
      <top style="thin">
        <color rgb="FFA7A7A7"/>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top style="thin"/>
      <bottom style="medium"/>
      <diagonal/>
    </border>
    <border diagonalUp="false" diagonalDown="false">
      <left/>
      <right style="thin"/>
      <top style="thin"/>
      <bottom style="medium"/>
      <diagonal/>
    </border>
    <border diagonalUp="false" diagonalDown="false">
      <left style="thin"/>
      <right style="medium"/>
      <top style="thin"/>
      <bottom style="medium"/>
      <diagonal/>
    </border>
    <border diagonalUp="false" diagonalDown="false">
      <left style="medium"/>
      <right style="medium"/>
      <top style="medium"/>
      <bottom style="thin"/>
      <diagonal/>
    </border>
    <border diagonalUp="false" diagonalDown="false">
      <left style="medium"/>
      <right style="medium"/>
      <top style="thin"/>
      <bottom style="mediu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false" applyBorder="false" applyAlignment="false" applyProtection="false"/>
    <xf numFmtId="164" fontId="0" fillId="0" borderId="0" applyFont="false" applyBorder="false" applyAlignment="false" applyProtection="false"/>
    <xf numFmtId="164" fontId="0" fillId="0" borderId="0" applyFont="false" applyBorder="false" applyAlignment="false" applyProtection="false"/>
    <xf numFmtId="164" fontId="0" fillId="0" borderId="0" applyFont="false" applyBorder="false" applyAlignment="true" applyProtection="false">
      <alignment horizontal="left" vertical="bottom" textRotation="0" wrapText="false" indent="0" shrinkToFit="false"/>
    </xf>
    <xf numFmtId="164" fontId="4" fillId="0" borderId="0" applyFont="true" applyBorder="false" applyAlignment="true" applyProtection="false">
      <alignment horizontal="left" vertical="bottom" textRotation="0" wrapText="false" indent="0" shrinkToFit="false"/>
    </xf>
    <xf numFmtId="164" fontId="4" fillId="0" borderId="0" applyFont="true" applyBorder="false" applyAlignment="false" applyProtection="false"/>
  </cellStyleXfs>
  <cellXfs count="6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8" fillId="2" borderId="0" xfId="0" applyFont="true" applyBorder="fals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left" vertical="center" textRotation="0" wrapText="true" indent="0" shrinkToFit="false"/>
      <protection locked="true" hidden="false"/>
    </xf>
    <xf numFmtId="164" fontId="11" fillId="2" borderId="1" xfId="0" applyFont="true" applyBorder="true" applyAlignment="false" applyProtection="false">
      <alignment horizontal="general" vertical="bottom" textRotation="0" wrapText="false" indent="0" shrinkToFit="false"/>
      <protection locked="true" hidden="false"/>
    </xf>
    <xf numFmtId="164" fontId="11" fillId="2" borderId="2" xfId="0" applyFont="true" applyBorder="true" applyAlignment="false" applyProtection="false">
      <alignment horizontal="general" vertical="bottom" textRotation="0" wrapText="false" indent="0" shrinkToFit="false"/>
      <protection locked="true" hidden="false"/>
    </xf>
    <xf numFmtId="164" fontId="0" fillId="2" borderId="3" xfId="0" applyFont="true" applyBorder="true" applyAlignment="false" applyProtection="false">
      <alignment horizontal="general" vertical="bottom" textRotation="0" wrapText="false" indent="0" shrinkToFit="false"/>
      <protection locked="true" hidden="false"/>
    </xf>
    <xf numFmtId="165" fontId="0" fillId="2" borderId="4" xfId="0" applyFont="false" applyBorder="true" applyAlignment="false" applyProtection="false">
      <alignment horizontal="general" vertical="bottom" textRotation="0" wrapText="false" indent="0" shrinkToFit="false"/>
      <protection locked="true" hidden="false"/>
    </xf>
    <xf numFmtId="164" fontId="0" fillId="2" borderId="5" xfId="0" applyFont="true" applyBorder="true" applyAlignment="false" applyProtection="false">
      <alignment horizontal="general" vertical="bottom" textRotation="0" wrapText="false" indent="0" shrinkToFit="false"/>
      <protection locked="true" hidden="false"/>
    </xf>
    <xf numFmtId="165" fontId="0" fillId="2" borderId="6" xfId="0" applyFont="false" applyBorder="tru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center" vertical="center" textRotation="0" wrapText="false" indent="0" shrinkToFit="false"/>
      <protection locked="true" hidden="false"/>
    </xf>
    <xf numFmtId="164" fontId="13" fillId="2" borderId="0" xfId="0" applyFont="true" applyBorder="false" applyAlignment="true" applyProtection="false">
      <alignment horizontal="general" vertical="bottom" textRotation="0" wrapText="true" indent="0" shrinkToFit="false"/>
      <protection locked="true" hidden="false"/>
    </xf>
    <xf numFmtId="164" fontId="11" fillId="0" borderId="7" xfId="0" applyFont="true" applyBorder="true" applyAlignment="false" applyProtection="false">
      <alignment horizontal="general" vertical="bottom" textRotation="0" wrapText="false" indent="0" shrinkToFit="false"/>
      <protection locked="true" hidden="false"/>
    </xf>
    <xf numFmtId="164" fontId="11" fillId="0" borderId="8" xfId="0" applyFont="true" applyBorder="true" applyAlignment="true" applyProtection="false">
      <alignment horizontal="center" vertical="bottom" textRotation="0" wrapText="false" indent="0" shrinkToFit="false"/>
      <protection locked="true" hidden="false"/>
    </xf>
    <xf numFmtId="164" fontId="11" fillId="2" borderId="9" xfId="0" applyFont="true" applyBorder="true" applyAlignment="fals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left" vertical="top" textRotation="0" wrapText="true" indent="0" shrinkToFit="false"/>
      <protection locked="true" hidden="false"/>
    </xf>
    <xf numFmtId="165" fontId="11" fillId="0" borderId="10" xfId="0" applyFont="true" applyBorder="true" applyAlignment="false" applyProtection="false">
      <alignment horizontal="general" vertical="bottom" textRotation="0" wrapText="false" indent="0" shrinkToFit="false"/>
      <protection locked="true" hidden="false"/>
    </xf>
    <xf numFmtId="164" fontId="11" fillId="0" borderId="10" xfId="0" applyFont="true" applyBorder="true" applyAlignment="false" applyProtection="false">
      <alignment horizontal="general" vertical="bottom" textRotation="0" wrapText="false" indent="0" shrinkToFit="false"/>
      <protection locked="true" hidden="false"/>
    </xf>
    <xf numFmtId="164" fontId="0" fillId="0" borderId="11" xfId="0" applyFont="true" applyBorder="true" applyAlignment="false" applyProtection="false">
      <alignment horizontal="general" vertical="bottom" textRotation="0" wrapText="false" indent="0" shrinkToFit="false"/>
      <protection locked="true" hidden="false"/>
    </xf>
    <xf numFmtId="164" fontId="0" fillId="0" borderId="12" xfId="0" applyFont="false" applyBorder="true" applyAlignment="false" applyProtection="false">
      <alignment horizontal="general" vertical="bottom" textRotation="0" wrapText="false" indent="0" shrinkToFit="false"/>
      <protection locked="true" hidden="false"/>
    </xf>
    <xf numFmtId="166" fontId="0" fillId="2" borderId="13" xfId="0" applyFont="false" applyBorder="true" applyAlignment="false" applyProtection="false">
      <alignment horizontal="general" vertical="bottom" textRotation="0" wrapText="false" indent="0" shrinkToFit="false"/>
      <protection locked="true" hidden="false"/>
    </xf>
    <xf numFmtId="165" fontId="0" fillId="0" borderId="14" xfId="0" applyFont="false" applyBorder="true" applyAlignment="false" applyProtection="false">
      <alignment horizontal="general" vertical="bottom" textRotation="0" wrapText="false" indent="0" shrinkToFit="false"/>
      <protection locked="true" hidden="false"/>
    </xf>
    <xf numFmtId="164" fontId="0" fillId="0" borderId="14" xfId="0" applyFont="false" applyBorder="true" applyAlignment="false" applyProtection="false">
      <alignment horizontal="general" vertical="bottom" textRotation="0" wrapText="false" indent="0" shrinkToFit="false"/>
      <protection locked="true" hidden="false"/>
    </xf>
    <xf numFmtId="164" fontId="0" fillId="2" borderId="15" xfId="0" applyFont="true" applyBorder="true" applyAlignment="false" applyProtection="false">
      <alignment horizontal="general" vertical="bottom" textRotation="0" wrapText="false" indent="0" shrinkToFit="false"/>
      <protection locked="true" hidden="false"/>
    </xf>
    <xf numFmtId="164" fontId="0" fillId="2" borderId="16" xfId="0" applyFont="false" applyBorder="true" applyAlignment="false" applyProtection="false">
      <alignment horizontal="general" vertical="bottom" textRotation="0" wrapText="false" indent="0" shrinkToFit="false"/>
      <protection locked="true" hidden="false"/>
    </xf>
    <xf numFmtId="166" fontId="0" fillId="2" borderId="17" xfId="0" applyFont="false" applyBorder="true" applyAlignment="false" applyProtection="false">
      <alignment horizontal="general" vertical="bottom" textRotation="0" wrapText="false" indent="0" shrinkToFit="false"/>
      <protection locked="true" hidden="false"/>
    </xf>
    <xf numFmtId="165" fontId="0" fillId="0" borderId="18" xfId="0" applyFont="false" applyBorder="true" applyAlignment="false" applyProtection="false">
      <alignment horizontal="general" vertical="bottom" textRotation="0" wrapText="false" indent="0" shrinkToFit="false"/>
      <protection locked="true" hidden="false"/>
    </xf>
    <xf numFmtId="164" fontId="0" fillId="0" borderId="18" xfId="0" applyFont="false" applyBorder="true" applyAlignment="false" applyProtection="false">
      <alignment horizontal="general" vertical="bottom" textRotation="0" wrapText="false" indent="0" shrinkToFit="false"/>
      <protection locked="true" hidden="false"/>
    </xf>
    <xf numFmtId="164" fontId="16" fillId="2" borderId="0" xfId="0" applyFont="true" applyBorder="false" applyAlignment="true" applyProtection="false">
      <alignment horizontal="center" vertical="center" textRotation="0" wrapText="false" indent="0" shrinkToFit="false"/>
      <protection locked="true" hidden="false"/>
    </xf>
    <xf numFmtId="164" fontId="17" fillId="2" borderId="19" xfId="0" applyFont="true" applyBorder="true" applyAlignment="false" applyProtection="false">
      <alignment horizontal="general" vertical="bottom" textRotation="0" wrapText="false" indent="0" shrinkToFit="false"/>
      <protection locked="true" hidden="false"/>
    </xf>
    <xf numFmtId="165" fontId="17" fillId="2" borderId="19" xfId="0" applyFont="true" applyBorder="true" applyAlignment="false" applyProtection="false">
      <alignment horizontal="general" vertical="bottom" textRotation="0" wrapText="false" indent="0" shrinkToFit="false"/>
      <protection locked="true" hidden="false"/>
    </xf>
    <xf numFmtId="164" fontId="11" fillId="0" borderId="20" xfId="22" applyFont="true" applyBorder="true" applyAlignment="false" applyProtection="false">
      <alignment horizontal="general" vertical="bottom" textRotation="0" wrapText="false" indent="0" shrinkToFit="false"/>
      <protection locked="true" hidden="false"/>
    </xf>
    <xf numFmtId="164" fontId="11" fillId="0" borderId="21" xfId="20" applyFont="true" applyBorder="true" applyAlignment="false" applyProtection="false">
      <alignment horizontal="general" vertical="bottom" textRotation="0" wrapText="false" indent="0" shrinkToFit="false"/>
      <protection locked="true" hidden="false"/>
    </xf>
    <xf numFmtId="164" fontId="0" fillId="0" borderId="22" xfId="23" applyFont="true" applyBorder="true" applyAlignment="false" applyProtection="false">
      <alignment horizontal="left" vertical="bottom" textRotation="0" wrapText="false" indent="0" shrinkToFit="false"/>
      <protection locked="true" hidden="false"/>
    </xf>
    <xf numFmtId="164" fontId="0" fillId="0" borderId="23" xfId="23" applyFont="false" applyBorder="true" applyAlignment="false" applyProtection="false">
      <alignment horizontal="left" vertical="bottom" textRotation="0" wrapText="false" indent="0" shrinkToFit="false"/>
      <protection locked="true" hidden="false"/>
    </xf>
    <xf numFmtId="165" fontId="0" fillId="0" borderId="24" xfId="21" applyFont="false" applyBorder="true" applyAlignment="false" applyProtection="false">
      <alignment horizontal="general" vertical="bottom" textRotation="0" wrapText="false" indent="0" shrinkToFit="false"/>
      <protection locked="true" hidden="false"/>
    </xf>
    <xf numFmtId="164" fontId="0" fillId="0" borderId="25" xfId="23" applyFont="true" applyBorder="true" applyAlignment="false" applyProtection="false">
      <alignment horizontal="left" vertical="bottom" textRotation="0" wrapText="false" indent="0" shrinkToFit="false"/>
      <protection locked="true" hidden="false"/>
    </xf>
    <xf numFmtId="164" fontId="0" fillId="0" borderId="26" xfId="21" applyFont="false" applyBorder="true" applyAlignment="false" applyProtection="false">
      <alignment horizontal="general" vertical="bottom" textRotation="0" wrapText="false" indent="0" shrinkToFit="false"/>
      <protection locked="true" hidden="false"/>
    </xf>
    <xf numFmtId="164" fontId="4" fillId="0" borderId="27" xfId="24" applyFont="true" applyBorder="true" applyAlignment="false" applyProtection="false">
      <alignment horizontal="left" vertical="bottom" textRotation="0" wrapText="false" indent="0" shrinkToFit="false"/>
      <protection locked="true" hidden="false"/>
    </xf>
    <xf numFmtId="164" fontId="4" fillId="0" borderId="28" xfId="25" applyFont="false" applyBorder="true" applyAlignment="false" applyProtection="false">
      <alignment horizontal="general" vertical="bottom" textRotation="0" wrapText="false" indent="0" shrinkToFit="false"/>
      <protection locked="true" hidden="false"/>
    </xf>
    <xf numFmtId="164" fontId="0" fillId="0" borderId="29" xfId="23" applyFont="true" applyBorder="true" applyAlignment="false" applyProtection="false">
      <alignment horizontal="left" vertical="bottom" textRotation="0" wrapText="false" indent="0" shrinkToFit="false"/>
      <protection locked="true" hidden="false"/>
    </xf>
    <xf numFmtId="164" fontId="0" fillId="0" borderId="30" xfId="23" applyFont="false" applyBorder="true" applyAlignment="false" applyProtection="false">
      <alignment horizontal="left" vertical="bottom" textRotation="0" wrapText="false" indent="0" shrinkToFit="false"/>
      <protection locked="true" hidden="false"/>
    </xf>
    <xf numFmtId="165" fontId="0" fillId="0" borderId="31" xfId="21" applyFont="false" applyBorder="true" applyAlignment="fals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left" vertical="center" textRotation="0" wrapText="true" indent="0" shrinkToFit="false"/>
      <protection locked="true" hidden="false"/>
    </xf>
    <xf numFmtId="164" fontId="0" fillId="2" borderId="0" xfId="0" applyFont="true" applyBorder="false" applyAlignment="true" applyProtection="false">
      <alignment horizontal="center" vertical="top" textRotation="0" wrapText="true" indent="0" shrinkToFit="false"/>
      <protection locked="true" hidden="false"/>
    </xf>
    <xf numFmtId="164" fontId="19" fillId="2" borderId="0" xfId="0" applyFont="true" applyBorder="false" applyAlignment="true" applyProtection="false">
      <alignment horizontal="center" vertical="center"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0" fillId="0" borderId="32" xfId="22" applyFont="true" applyBorder="true" applyAlignment="false" applyProtection="false">
      <alignment horizontal="general" vertical="bottom" textRotation="0" wrapText="false" indent="0" shrinkToFit="false"/>
      <protection locked="true" hidden="false"/>
    </xf>
    <xf numFmtId="164" fontId="0" fillId="0" borderId="33" xfId="22" applyFont="true" applyBorder="true" applyAlignment="false" applyProtection="false">
      <alignment horizontal="general" vertical="bottom" textRotation="0" wrapText="false" indent="0" shrinkToFit="false"/>
      <protection locked="true" hidden="false"/>
    </xf>
    <xf numFmtId="164" fontId="0" fillId="0" borderId="34" xfId="20" applyFont="true" applyBorder="true" applyAlignment="false" applyProtection="false">
      <alignment horizontal="general" vertical="bottom" textRotation="0" wrapText="false" indent="0" shrinkToFit="false"/>
      <protection locked="true" hidden="false"/>
    </xf>
    <xf numFmtId="164" fontId="0" fillId="0" borderId="35" xfId="23" applyFont="true" applyBorder="true" applyAlignment="false" applyProtection="false">
      <alignment horizontal="left" vertical="bottom" textRotation="0" wrapText="false" indent="0" shrinkToFit="false"/>
      <protection locked="true" hidden="false"/>
    </xf>
    <xf numFmtId="164" fontId="0" fillId="0" borderId="36" xfId="23" applyFont="false" applyBorder="true" applyAlignment="false" applyProtection="false">
      <alignment horizontal="left" vertical="bottom" textRotation="0" wrapText="false" indent="0" shrinkToFit="false"/>
      <protection locked="true" hidden="false"/>
    </xf>
    <xf numFmtId="164" fontId="0" fillId="0" borderId="37" xfId="21" applyFont="false" applyBorder="true" applyAlignment="false" applyProtection="false">
      <alignment horizontal="general" vertical="bottom" textRotation="0" wrapText="false" indent="0" shrinkToFit="false"/>
      <protection locked="true" hidden="false"/>
    </xf>
    <xf numFmtId="164" fontId="0" fillId="0" borderId="38" xfId="23" applyFont="true" applyBorder="true" applyAlignment="false" applyProtection="false">
      <alignment horizontal="left" vertical="bottom" textRotation="0" wrapText="false" indent="0" shrinkToFit="false"/>
      <protection locked="true" hidden="false"/>
    </xf>
    <xf numFmtId="164" fontId="0" fillId="0" borderId="39" xfId="23" applyFont="false" applyBorder="true" applyAlignment="false" applyProtection="false">
      <alignment horizontal="left" vertical="bottom" textRotation="0" wrapText="false" indent="0" shrinkToFit="false"/>
      <protection locked="true" hidden="false"/>
    </xf>
    <xf numFmtId="164" fontId="0" fillId="0" borderId="40" xfId="21" applyFont="false" applyBorder="true" applyAlignment="false" applyProtection="false">
      <alignment horizontal="general" vertical="bottom" textRotation="0" wrapText="false" indent="0" shrinkToFit="false"/>
      <protection locked="true" hidden="false"/>
    </xf>
    <xf numFmtId="164" fontId="0" fillId="0" borderId="41" xfId="23" applyFont="false" applyBorder="true" applyAlignment="false" applyProtection="false">
      <alignment horizontal="left" vertical="bottom" textRotation="0" wrapText="false" indent="0" shrinkToFit="false"/>
      <protection locked="true" hidden="false"/>
    </xf>
    <xf numFmtId="164" fontId="0" fillId="0" borderId="42" xfId="23" applyFont="false" applyBorder="true" applyAlignment="false" applyProtection="false">
      <alignment horizontal="left" vertical="bottom" textRotation="0" wrapText="false" indent="0" shrinkToFit="false"/>
      <protection locked="true" hidden="false"/>
    </xf>
    <xf numFmtId="164" fontId="0" fillId="0" borderId="43" xfId="21" applyFont="false" applyBorder="true" applyAlignment="false" applyProtection="false">
      <alignment horizontal="general" vertical="bottom" textRotation="0" wrapText="false" indent="0" shrinkToFit="false"/>
      <protection locked="true" hidden="false"/>
    </xf>
    <xf numFmtId="164" fontId="4" fillId="0" borderId="44" xfId="24" applyFont="true" applyBorder="true" applyAlignment="false" applyProtection="false">
      <alignment horizontal="left" vertical="bottom" textRotation="0" wrapText="false" indent="0" shrinkToFit="false"/>
      <protection locked="true" hidden="false"/>
    </xf>
    <xf numFmtId="164" fontId="4" fillId="0" borderId="45" xfId="24" applyFont="false" applyBorder="true" applyAlignment="false" applyProtection="false">
      <alignment horizontal="left" vertical="bottom" textRotation="0" wrapText="false" indent="0" shrinkToFit="false"/>
      <protection locked="true" hidden="false"/>
    </xf>
    <xf numFmtId="164" fontId="4" fillId="0" borderId="46" xfId="25" applyFont="false" applyBorder="true" applyAlignment="false" applyProtection="false">
      <alignment horizontal="general" vertical="bottom" textRotation="0" wrapText="false" indent="0" shrinkToFit="false"/>
      <protection locked="true" hidden="false"/>
    </xf>
    <xf numFmtId="164" fontId="0" fillId="0" borderId="47" xfId="20" applyFont="true" applyBorder="true" applyAlignment="false" applyProtection="false">
      <alignment horizontal="general" vertical="bottom" textRotation="0" wrapText="false" indent="0" shrinkToFit="false"/>
      <protection locked="true" hidden="false"/>
    </xf>
    <xf numFmtId="164" fontId="0" fillId="0" borderId="48" xfId="21" applyFont="false" applyBorder="true" applyAlignment="false" applyProtection="fals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Pivot Table Corner" xfId="20"/>
    <cellStyle name="Pivot Table Value" xfId="21"/>
    <cellStyle name="Pivot Table Field" xfId="22"/>
    <cellStyle name="Pivot Table Category" xfId="23"/>
    <cellStyle name="Pivot Table Title" xfId="24"/>
    <cellStyle name="Pivot Table Result" xfId="25"/>
  </cellStyles>
  <dxfs count="1">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7E0021"/>
      <rgbColor rgb="FF008000"/>
      <rgbColor rgb="FF000080"/>
      <rgbColor rgb="FF808000"/>
      <rgbColor rgb="FF800080"/>
      <rgbColor rgb="FF008080"/>
      <rgbColor rgb="FFBAB8B8"/>
      <rgbColor rgb="FF808080"/>
      <rgbColor rgb="FF9999FF"/>
      <rgbColor rgb="FF993366"/>
      <rgbColor rgb="FFFFFFCC"/>
      <rgbColor rgb="FFCCFFFF"/>
      <rgbColor rgb="FF660066"/>
      <rgbColor rgb="FFFF8080"/>
      <rgbColor rgb="FF0066CC"/>
      <rgbColor rgb="FFB3B3B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D320"/>
      <rgbColor rgb="FFFF9900"/>
      <rgbColor rgb="FFFF420E"/>
      <rgbColor rgb="FF666699"/>
      <rgbColor rgb="FFA7A7A7"/>
      <rgbColor rgb="FF023F62"/>
      <rgbColor rgb="FF579D1C"/>
      <rgbColor rgb="FF003300"/>
      <rgbColor rgb="FF333300"/>
      <rgbColor rgb="FF993300"/>
      <rgbColor rgb="FF993366"/>
      <rgbColor rgb="FF00458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Relationship Id="rId11" Type="http://schemas.openxmlformats.org/officeDocument/2006/relationships/pivotCacheDefinition" Target="pivotCache/pivotCacheDefinition1.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259380329732803"/>
          <c:y val="0.0333333333333334"/>
          <c:w val="0.647621754784916"/>
          <c:h val="0.849407783417936"/>
        </c:manualLayout>
      </c:layout>
      <c:barChart>
        <c:barDir val="bar"/>
        <c:grouping val="clustered"/>
        <c:varyColors val="0"/>
        <c:ser>
          <c:idx val="0"/>
          <c:order val="0"/>
          <c:tx>
            <c:strRef>
              <c:f>'Executive Dashboard'!$C$14</c:f>
              <c:strCache>
                <c:ptCount val="1"/>
                <c:pt idx="0">
                  <c:v>Total Revenue</c:v>
                </c:pt>
              </c:strCache>
            </c:strRef>
          </c:tx>
          <c:spPr>
            <a:solidFill>
              <a:srgbClr val="004586"/>
            </a:solidFill>
            <a:ln w="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'Executive Dashboard'!$B$15:$B$19</c:f>
              <c:strCache>
                <c:ptCount val="5"/>
                <c:pt idx="0">
                  <c:v>Spain</c:v>
                </c:pt>
                <c:pt idx="1">
                  <c:v>United States</c:v>
                </c:pt>
                <c:pt idx="2">
                  <c:v>United Kingdom</c:v>
                </c:pt>
                <c:pt idx="3">
                  <c:v>Canada</c:v>
                </c:pt>
                <c:pt idx="4">
                  <c:v>Germany</c:v>
                </c:pt>
              </c:strCache>
            </c:strRef>
          </c:cat>
          <c:val>
            <c:numRef>
              <c:f>'Executive Dashboard'!$C$15:$C$19</c:f>
              <c:numCache>
                <c:formatCode>[$£-809]#,##0.00;[RED]\-[$£-809]#,##0.00</c:formatCode>
                <c:ptCount val="5"/>
                <c:pt idx="0">
                  <c:v>8557.35</c:v>
                </c:pt>
                <c:pt idx="1">
                  <c:v>9007.2</c:v>
                </c:pt>
                <c:pt idx="2">
                  <c:v>9647.01</c:v>
                </c:pt>
                <c:pt idx="3">
                  <c:v>10126.74</c:v>
                </c:pt>
                <c:pt idx="4">
                  <c:v>10701.7</c:v>
                </c:pt>
              </c:numCache>
            </c:numRef>
          </c:val>
        </c:ser>
        <c:gapWidth val="100"/>
        <c:overlap val="0"/>
        <c:axId val="95721878"/>
        <c:axId val="359467"/>
      </c:barChart>
      <c:catAx>
        <c:axId val="95721878"/>
        <c:scaling>
          <c:orientation val="minMax"/>
        </c:scaling>
        <c:delete val="0"/>
        <c:axPos val="b"/>
        <c:numFmt formatCode="General" sourceLinked="1"/>
        <c:majorTickMark val="out"/>
        <c:minorTickMark val="none"/>
        <c:tickLblPos val="nextTo"/>
        <c:spPr>
          <a:ln w="0">
            <a:solidFill>
              <a:srgbClr val="B3B3B3"/>
            </a:solidFill>
          </a:ln>
        </c:spPr>
        <c:txPr>
          <a:bodyPr/>
          <a:lstStyle/>
          <a:p>
            <a:pPr>
              <a:defRPr sz="1000" b="0" u="none" strike="noStrike">
                <a:uFillTx/>
                <a:latin typeface="Arial"/>
              </a:defRPr>
            </a:pPr>
          </a:p>
        </c:txPr>
        <c:crossAx val="359467"/>
        <c:crosses val="autoZero"/>
        <c:auto val="1"/>
        <c:lblAlgn val="ctr"/>
        <c:lblOffset val="100"/>
        <c:noMultiLvlLbl val="0"/>
      </c:catAx>
      <c:valAx>
        <c:axId val="359467"/>
        <c:scaling>
          <c:orientation val="minMax"/>
        </c:scaling>
        <c:delete val="0"/>
        <c:axPos val="l"/>
        <c:majorGridlines>
          <c:spPr>
            <a:ln w="0">
              <a:solidFill>
                <a:srgbClr val="B3B3B3"/>
              </a:solidFill>
            </a:ln>
          </c:spPr>
        </c:majorGridlines>
        <c:numFmt formatCode="[$£-809]#,##0.00;[RED]\-[$£-809]#,##0.00" sourceLinked="1"/>
        <c:majorTickMark val="out"/>
        <c:minorTickMark val="none"/>
        <c:tickLblPos val="nextTo"/>
        <c:spPr>
          <a:ln w="0">
            <a:solidFill>
              <a:srgbClr val="B3B3B3"/>
            </a:solidFill>
          </a:ln>
        </c:spPr>
        <c:txPr>
          <a:bodyPr/>
          <a:lstStyle/>
          <a:p>
            <a:pPr>
              <a:defRPr sz="1000" b="0" u="none" strike="noStrike">
                <a:uFillTx/>
                <a:latin typeface="Arial"/>
              </a:defRPr>
            </a:pPr>
          </a:p>
        </c:txPr>
        <c:crossAx val="95721878"/>
        <c:crosses val="autoZero"/>
        <c:crossBetween val="midCat"/>
      </c:valAx>
      <c:spPr>
        <a:noFill/>
        <a:ln w="0">
          <a:solidFill>
            <a:srgbClr val="B3B3B3"/>
          </a:solidFill>
        </a:ln>
      </c:spPr>
    </c:plotArea>
    <c:plotVisOnly val="1"/>
    <c:dispBlanksAs val="gap"/>
  </c:chart>
  <c:spPr>
    <a:solidFill>
      <a:srgbClr val="FFFFFF"/>
    </a:solidFill>
    <a:ln w="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100" b="1" u="none" strike="noStrike">
                <a:uFillTx/>
                <a:latin typeface="Arial"/>
              </a:rPr>
              <a:t>Users Churn Status
</a:t>
            </a:r>
          </a:p>
          <a:p>
            <a:pPr>
              <a:defRPr sz="1300" b="0" u="none" strike="noStrike">
                <a:uFillTx/>
                <a:latin typeface="Arial"/>
              </a:defRPr>
            </a:pPr>
            <a:r>
              <a:rPr sz="900" b="0" i="1" u="none" strike="noStrike">
                <a:uFillTx/>
                <a:latin typeface="Arial"/>
              </a:rPr>
              <a:t>Users divided into those who have cancelled the SaaS subscription and those who are still active</a:t>
            </a:r>
          </a:p>
        </c:rich>
      </c:tx>
      <c:overlay val="0"/>
      <c:spPr>
        <a:noFill/>
        <a:ln w="0">
          <a:noFill/>
        </a:ln>
      </c:spPr>
    </c:title>
    <c:autoTitleDeleted val="0"/>
    <c:view3D>
      <c:rotX val="30"/>
      <c:rotY val="0"/>
      <c:rAngAx val="1"/>
      <c:perspective val="10"/>
    </c:view3D>
    <c:floor>
      <c:spPr>
        <a:solidFill>
          <a:srgbClr val="CCCCCC"/>
        </a:solidFill>
        <a:ln w="0">
          <a:noFill/>
        </a:ln>
      </c:spPr>
    </c:floor>
    <c:sideWall>
      <c:spPr>
        <a:noFill/>
        <a:ln w="0">
          <a:solidFill>
            <a:srgbClr val="B3B3B3"/>
          </a:solidFill>
        </a:ln>
      </c:spPr>
    </c:sideWall>
    <c:backWall>
      <c:spPr>
        <a:noFill/>
        <a:ln w="0">
          <a:solidFill>
            <a:srgbClr val="B3B3B3"/>
          </a:solidFill>
        </a:ln>
      </c:spPr>
    </c:backWall>
    <c:plotArea>
      <c:pie3DChart>
        <c:varyColors val="1"/>
        <c:ser>
          <c:idx val="0"/>
          <c:order val="0"/>
          <c:tx>
            <c:strRef>
              <c:f>'Executive Dashboard'!$C$34</c:f>
              <c:strCache>
                <c:ptCount val="1"/>
                <c:pt idx="0">
                  <c:v>Total Users</c:v>
                </c:pt>
              </c:strCache>
            </c:strRef>
          </c:tx>
          <c:spPr>
            <a:solidFill>
              <a:srgbClr val="004586"/>
            </a:solidFill>
            <a:ln w="0">
              <a:noFill/>
            </a:ln>
          </c:spPr>
          <c:explosion val="0"/>
          <c:dPt>
            <c:idx val="0"/>
            <c:spPr>
              <a:solidFill>
                <a:srgbClr val="004586"/>
              </a:solidFill>
              <a:ln w="0">
                <a:noFill/>
              </a:ln>
            </c:spPr>
          </c:dPt>
          <c:dPt>
            <c:idx val="1"/>
            <c:spPr>
              <a:solidFill>
                <a:srgbClr val="FF420E"/>
              </a:solidFill>
              <a:ln w="0">
                <a:noFill/>
              </a:ln>
            </c:spPr>
          </c:dPt>
          <c:dLbls>
            <c:dLbl>
              <c:idx val="0"/>
              <c:txPr>
                <a:bodyPr wrap="none"/>
                <a:lstStyle/>
                <a:p>
                  <a:pPr>
                    <a:defRPr sz="1000" b="0" u="none" strike="noStrike">
                      <a:uFillTx/>
                      <a:latin typeface="Arial"/>
                    </a:defRPr>
                  </a:pPr>
                </a:p>
              </c:txPr>
              <c:showLegendKey val="0"/>
              <c:showVal val="0"/>
              <c:showCatName val="0"/>
              <c:showSerName val="0"/>
              <c:showPercent val="0"/>
              <c:separator> </c:separator>
            </c:dLbl>
            <c:dLbl>
              <c:idx val="1"/>
              <c:txPr>
                <a:bodyPr wrap="none"/>
                <a:lstStyle/>
                <a:p>
                  <a:pPr>
                    <a:defRPr sz="1000" b="0" u="none" strike="noStrike">
                      <a:uFillTx/>
                      <a:latin typeface="Arial"/>
                    </a:defRPr>
                  </a:pPr>
                </a:p>
              </c:txPr>
              <c:showLegendKey val="0"/>
              <c:showVal val="0"/>
              <c:showCatName val="0"/>
              <c:showSerName val="0"/>
              <c:showPercent val="0"/>
              <c:separator> </c:separator>
            </c:dLbl>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dLbls>
          <c:cat>
            <c:strRef>
              <c:f>'Executive Dashboard'!$B$35:$B$36</c:f>
              <c:strCache>
                <c:ptCount val="2"/>
                <c:pt idx="0">
                  <c:v>Cancelled</c:v>
                </c:pt>
                <c:pt idx="1">
                  <c:v>Active</c:v>
                </c:pt>
              </c:strCache>
            </c:strRef>
          </c:cat>
          <c:val>
            <c:numRef>
              <c:f>'Executive Dashboard'!$C$35:$C$36</c:f>
              <c:numCache>
                <c:formatCode>General</c:formatCode>
                <c:ptCount val="2"/>
                <c:pt idx="0">
                  <c:v>252</c:v>
                </c:pt>
                <c:pt idx="1">
                  <c:v>748</c:v>
                </c:pt>
              </c:numCache>
            </c:numRef>
          </c:val>
        </c:ser>
      </c:pie3DChart>
    </c:plotArea>
    <c:legend>
      <c:legendPos val="r"/>
      <c:overlay val="0"/>
      <c:spPr>
        <a:noFill/>
        <a:ln w="0">
          <a:noFill/>
        </a:ln>
      </c:spPr>
      <c:txPr>
        <a:bodyPr/>
        <a:lstStyle/>
        <a:p>
          <a:pPr>
            <a:defRPr sz="1000" b="0" u="none" strike="noStrike">
              <a:uFillTx/>
              <a:latin typeface="Arial"/>
            </a:defRPr>
          </a:pPr>
        </a:p>
      </c:txPr>
    </c:legend>
    <c:plotVisOnly val="1"/>
  </c:chart>
  <c:spPr>
    <a:solidFill>
      <a:srgbClr val="FFFFFF"/>
    </a:solidFill>
    <a:ln w="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900" b="1" u="none" strike="noStrike">
                <a:uFillTx/>
                <a:latin typeface="Arial"/>
              </a:rPr>
              <a:t>Total Revenue by Subscription</a:t>
            </a:r>
          </a:p>
        </c:rich>
      </c:tx>
      <c:layout>
        <c:manualLayout>
          <c:xMode val="edge"/>
          <c:yMode val="edge"/>
          <c:x val="0.0301507537688442"/>
          <c:y val="0.0401540154015402"/>
        </c:manualLayout>
      </c:layout>
      <c:overlay val="0"/>
      <c:spPr>
        <a:noFill/>
        <a:ln w="0">
          <a:noFill/>
        </a:ln>
      </c:spPr>
    </c:title>
    <c:autoTitleDeleted val="0"/>
    <c:plotArea>
      <c:layout>
        <c:manualLayout>
          <c:layoutTarget val="inner"/>
          <c:xMode val="edge"/>
          <c:yMode val="edge"/>
          <c:x val="0.270009820770931"/>
          <c:y val="0.231776516804889"/>
          <c:w val="0.647802602504297"/>
          <c:h val="0.604539502400698"/>
        </c:manualLayout>
      </c:layout>
      <c:barChart>
        <c:barDir val="col"/>
        <c:grouping val="clustered"/>
        <c:varyColors val="0"/>
        <c:ser>
          <c:idx val="0"/>
          <c:order val="0"/>
          <c:tx>
            <c:strRef>
              <c:f>'Executive Dashboard'!$L$34</c:f>
              <c:strCache>
                <c:ptCount val="1"/>
                <c:pt idx="0">
                  <c:v>Total Revenue</c:v>
                </c:pt>
              </c:strCache>
            </c:strRef>
          </c:tx>
          <c:spPr>
            <a:solidFill>
              <a:srgbClr val="FF420E"/>
            </a:solidFill>
            <a:ln w="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'Executive Dashboard'!$J$35:$J$37</c:f>
              <c:strCache>
                <c:ptCount val="3"/>
                <c:pt idx="0">
                  <c:v>£49.99</c:v>
                </c:pt>
                <c:pt idx="1">
                  <c:v>£29.99</c:v>
                </c:pt>
                <c:pt idx="2">
                  <c:v>£14.99</c:v>
                </c:pt>
              </c:strCache>
            </c:strRef>
          </c:cat>
          <c:val>
            <c:numRef>
              <c:f>'Executive Dashboard'!$L$35:$L$37</c:f>
              <c:numCache>
                <c:formatCode>[$£-809]#,##0.00;[RED]\-[$£-809]#,##0.00</c:formatCode>
                <c:ptCount val="3"/>
                <c:pt idx="0">
                  <c:v>25144.97</c:v>
                </c:pt>
                <c:pt idx="1">
                  <c:v>15894.7</c:v>
                </c:pt>
                <c:pt idx="2">
                  <c:v>7000.33</c:v>
                </c:pt>
              </c:numCache>
            </c:numRef>
          </c:val>
        </c:ser>
        <c:gapWidth val="100"/>
        <c:overlap val="0"/>
        <c:axId val="14217162"/>
        <c:axId val="8685256"/>
      </c:barChart>
      <c:catAx>
        <c:axId val="14217162"/>
        <c:scaling>
          <c:orientation val="minMax"/>
        </c:scaling>
        <c:delete val="0"/>
        <c:axPos val="b"/>
        <c:numFmt formatCode="General" sourceLinked="1"/>
        <c:majorTickMark val="out"/>
        <c:minorTickMark val="none"/>
        <c:tickLblPos val="nextTo"/>
        <c:spPr>
          <a:ln w="0">
            <a:solidFill>
              <a:srgbClr val="B3B3B3"/>
            </a:solidFill>
          </a:ln>
        </c:spPr>
        <c:txPr>
          <a:bodyPr/>
          <a:lstStyle/>
          <a:p>
            <a:pPr>
              <a:defRPr sz="1000" b="0" u="none" strike="noStrike">
                <a:uFillTx/>
                <a:latin typeface="Arial"/>
              </a:defRPr>
            </a:pPr>
          </a:p>
        </c:txPr>
        <c:crossAx val="8685256"/>
        <c:crosses val="autoZero"/>
        <c:auto val="1"/>
        <c:lblAlgn val="ctr"/>
        <c:lblOffset val="100"/>
        <c:noMultiLvlLbl val="0"/>
      </c:catAx>
      <c:valAx>
        <c:axId val="8685256"/>
        <c:scaling>
          <c:orientation val="minMax"/>
        </c:scaling>
        <c:delete val="0"/>
        <c:axPos val="l"/>
        <c:majorGridlines>
          <c:spPr>
            <a:ln w="0">
              <a:solidFill>
                <a:srgbClr val="B3B3B3"/>
              </a:solidFill>
            </a:ln>
          </c:spPr>
        </c:majorGridlines>
        <c:numFmt formatCode="[$£-809]#,##0.00;[RED]\-[$£-809]#,##0.00" sourceLinked="1"/>
        <c:majorTickMark val="out"/>
        <c:minorTickMark val="none"/>
        <c:tickLblPos val="nextTo"/>
        <c:spPr>
          <a:ln w="0">
            <a:solidFill>
              <a:srgbClr val="B3B3B3"/>
            </a:solidFill>
          </a:ln>
        </c:spPr>
        <c:txPr>
          <a:bodyPr/>
          <a:lstStyle/>
          <a:p>
            <a:pPr>
              <a:defRPr sz="1000" b="0" u="none" strike="noStrike">
                <a:uFillTx/>
                <a:latin typeface="Arial"/>
              </a:defRPr>
            </a:pPr>
          </a:p>
        </c:txPr>
        <c:crossAx val="14217162"/>
        <c:crosses val="autoZero"/>
        <c:crossBetween val="between"/>
      </c:valAx>
      <c:spPr>
        <a:noFill/>
        <a:ln w="0">
          <a:solidFill>
            <a:srgbClr val="B3B3B3"/>
          </a:solidFill>
        </a:ln>
      </c:spPr>
    </c:plotArea>
    <c:legend>
      <c:legendPos val="r"/>
      <c:layout>
        <c:manualLayout>
          <c:xMode val="edge"/>
          <c:yMode val="edge"/>
          <c:x val="0.628283820279892"/>
          <c:y val="0.0222610213880402"/>
          <c:w val="0.35195187822244"/>
          <c:h val="0.130292448712353"/>
        </c:manualLayout>
      </c:layout>
      <c:overlay val="0"/>
      <c:spPr>
        <a:noFill/>
        <a:ln w="0">
          <a:noFill/>
        </a:ln>
      </c:spPr>
      <c:txPr>
        <a:bodyPr/>
        <a:lstStyle/>
        <a:p>
          <a:pPr>
            <a:defRPr sz="800" b="0" u="none" strike="noStrike">
              <a:uFillTx/>
              <a:latin typeface="Arial"/>
            </a:defRPr>
          </a:pPr>
        </a:p>
      </c:txPr>
    </c:legend>
    <c:plotVisOnly val="1"/>
    <c:dispBlanksAs val="gap"/>
  </c:chart>
  <c:spPr>
    <a:solidFill>
      <a:srgbClr val="FFFFFF"/>
    </a:solidFill>
    <a:ln w="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uFillTx/>
                <a:latin typeface="Arial"/>
              </a:rPr>
              <a:t>Total Spent by Top Users based on country</a:t>
            </a:r>
          </a:p>
        </c:rich>
      </c:tx>
      <c:overlay val="0"/>
      <c:spPr>
        <a:noFill/>
        <a:ln w="0">
          <a:noFill/>
        </a:ln>
      </c:spPr>
    </c:title>
    <c:autoTitleDeleted val="0"/>
    <c:plotArea>
      <c:pieChart>
        <c:varyColors val="1"/>
        <c:ser>
          <c:idx val="0"/>
          <c:order val="0"/>
          <c:tx>
            <c:strRef>
              <c:f>'Executive Dashboard'!$D$62</c:f>
              <c:strCache>
                <c:ptCount val="1"/>
                <c:pt idx="0">
                  <c:v>Total Spent Users</c:v>
                </c:pt>
              </c:strCache>
            </c:strRef>
          </c:tx>
          <c:spPr>
            <a:solidFill>
              <a:srgbClr val="004586"/>
            </a:solidFill>
            <a:ln w="0">
              <a:noFill/>
            </a:ln>
          </c:spPr>
          <c:explosion val="0"/>
          <c:dPt>
            <c:idx val="0"/>
            <c:spPr>
              <a:solidFill>
                <a:srgbClr val="004586"/>
              </a:solidFill>
              <a:ln w="0">
                <a:noFill/>
              </a:ln>
            </c:spPr>
          </c:dPt>
          <c:dPt>
            <c:idx val="1"/>
            <c:spPr>
              <a:solidFill>
                <a:srgbClr val="FF420E"/>
              </a:solidFill>
              <a:ln w="0">
                <a:noFill/>
              </a:ln>
            </c:spPr>
          </c:dPt>
          <c:dPt>
            <c:idx val="2"/>
            <c:spPr>
              <a:solidFill>
                <a:srgbClr val="FFD320"/>
              </a:solidFill>
              <a:ln w="0">
                <a:noFill/>
              </a:ln>
            </c:spPr>
          </c:dPt>
          <c:dPt>
            <c:idx val="3"/>
            <c:spPr>
              <a:solidFill>
                <a:srgbClr val="579D1C"/>
              </a:solidFill>
              <a:ln w="0">
                <a:noFill/>
              </a:ln>
            </c:spPr>
          </c:dPt>
          <c:dPt>
            <c:idx val="4"/>
            <c:spPr>
              <a:solidFill>
                <a:srgbClr val="7E0021"/>
              </a:solidFill>
              <a:ln w="0">
                <a:noFill/>
              </a:ln>
            </c:spPr>
          </c:dPt>
          <c:dLbls>
            <c:dLbl>
              <c:idx val="0"/>
              <c:txPr>
                <a:bodyPr wrap="none"/>
                <a:lstStyle/>
                <a:p>
                  <a:pPr>
                    <a:defRPr sz="1000" b="0" u="none" strike="noStrike">
                      <a:uFillTx/>
                      <a:latin typeface="Arial"/>
                    </a:defRPr>
                  </a:pPr>
                </a:p>
              </c:txPr>
              <c:showLegendKey val="0"/>
              <c:showVal val="0"/>
              <c:showCatName val="0"/>
              <c:showSerName val="0"/>
              <c:showPercent val="0"/>
              <c:separator> </c:separator>
            </c:dLbl>
            <c:dLbl>
              <c:idx val="1"/>
              <c:txPr>
                <a:bodyPr wrap="none"/>
                <a:lstStyle/>
                <a:p>
                  <a:pPr>
                    <a:defRPr sz="1000" b="0" u="none" strike="noStrike">
                      <a:uFillTx/>
                      <a:latin typeface="Arial"/>
                    </a:defRPr>
                  </a:pPr>
                </a:p>
              </c:txPr>
              <c:showLegendKey val="0"/>
              <c:showVal val="0"/>
              <c:showCatName val="0"/>
              <c:showSerName val="0"/>
              <c:showPercent val="0"/>
              <c:separator> </c:separator>
            </c:dLbl>
            <c:dLbl>
              <c:idx val="2"/>
              <c:txPr>
                <a:bodyPr wrap="none"/>
                <a:lstStyle/>
                <a:p>
                  <a:pPr>
                    <a:defRPr sz="1000" b="0" u="none" strike="noStrike">
                      <a:uFillTx/>
                      <a:latin typeface="Arial"/>
                    </a:defRPr>
                  </a:pPr>
                </a:p>
              </c:txPr>
              <c:showLegendKey val="0"/>
              <c:showVal val="0"/>
              <c:showCatName val="0"/>
              <c:showSerName val="0"/>
              <c:showPercent val="0"/>
              <c:separator> </c:separator>
            </c:dLbl>
            <c:dLbl>
              <c:idx val="3"/>
              <c:txPr>
                <a:bodyPr wrap="none"/>
                <a:lstStyle/>
                <a:p>
                  <a:pPr>
                    <a:defRPr sz="1000" b="0" u="none" strike="noStrike">
                      <a:uFillTx/>
                      <a:latin typeface="Arial"/>
                    </a:defRPr>
                  </a:pPr>
                </a:p>
              </c:txPr>
              <c:showLegendKey val="0"/>
              <c:showVal val="0"/>
              <c:showCatName val="0"/>
              <c:showSerName val="0"/>
              <c:showPercent val="0"/>
              <c:separator> </c:separator>
            </c:dLbl>
            <c:dLbl>
              <c:idx val="4"/>
              <c:txPr>
                <a:bodyPr wrap="none"/>
                <a:lstStyle/>
                <a:p>
                  <a:pPr>
                    <a:defRPr sz="1000" b="0" u="none" strike="noStrike">
                      <a:uFillTx/>
                      <a:latin typeface="Arial"/>
                    </a:defRPr>
                  </a:pPr>
                </a:p>
              </c:txPr>
              <c:showLegendKey val="0"/>
              <c:showVal val="0"/>
              <c:showCatName val="0"/>
              <c:showSerName val="0"/>
              <c:showPercent val="0"/>
              <c:separator> </c:separator>
            </c:dLbl>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dLbls>
          <c:cat>
            <c:strRef>
              <c:f>'Executive Dashboard'!$C$63:$C$67</c:f>
              <c:strCache>
                <c:ptCount val="5"/>
                <c:pt idx="0">
                  <c:v>Canada</c:v>
                </c:pt>
                <c:pt idx="1">
                  <c:v>Germany</c:v>
                </c:pt>
                <c:pt idx="2">
                  <c:v>Spain</c:v>
                </c:pt>
                <c:pt idx="3">
                  <c:v>United Kingdom</c:v>
                </c:pt>
                <c:pt idx="4">
                  <c:v>United States</c:v>
                </c:pt>
              </c:strCache>
            </c:strRef>
          </c:cat>
          <c:val>
            <c:numRef>
              <c:f>'Executive Dashboard'!$D$63:$D$67</c:f>
              <c:numCache>
                <c:formatCode>General</c:formatCode>
                <c:ptCount val="5"/>
                <c:pt idx="0">
                  <c:v>1814.52</c:v>
                </c:pt>
                <c:pt idx="1">
                  <c:v>3314.05</c:v>
                </c:pt>
                <c:pt idx="2">
                  <c:v>2924.2</c:v>
                </c:pt>
                <c:pt idx="3">
                  <c:v>3389.08</c:v>
                </c:pt>
                <c:pt idx="4">
                  <c:v>2524.31</c:v>
                </c:pt>
              </c:numCache>
            </c:numRef>
          </c:val>
        </c:ser>
        <c:firstSliceAng val="0"/>
      </c:pieChart>
      <c:spPr>
        <a:noFill/>
        <a:ln w="0">
          <a:noFill/>
        </a:ln>
      </c:spPr>
    </c:plotArea>
    <c:legend>
      <c:legendPos val="r"/>
      <c:overlay val="0"/>
      <c:spPr>
        <a:noFill/>
        <a:ln w="0">
          <a:noFill/>
        </a:ln>
      </c:spPr>
      <c:txPr>
        <a:bodyPr/>
        <a:lstStyle/>
        <a:p>
          <a:pPr>
            <a:defRPr sz="1000" b="0" u="none" strike="noStrike">
              <a:uFillTx/>
              <a:latin typeface="Arial"/>
            </a:defRPr>
          </a:pPr>
        </a:p>
      </c:txPr>
    </c:legend>
    <c:plotVisOnly val="1"/>
  </c:chart>
  <c:spPr>
    <a:solidFill>
      <a:srgbClr val="FFFFFF"/>
    </a:solidFill>
    <a:ln w="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uFillTx/>
                <a:latin typeface="Arial"/>
              </a:rPr>
              <a:t>Total Spent by TOP 10 users - Leaderboard</a:t>
            </a:r>
          </a:p>
        </c:rich>
      </c:tx>
      <c:overlay val="0"/>
      <c:spPr>
        <a:noFill/>
        <a:ln w="0">
          <a:noFill/>
        </a:ln>
      </c:spPr>
    </c:title>
    <c:autoTitleDeleted val="0"/>
    <c:plotArea>
      <c:barChart>
        <c:barDir val="col"/>
        <c:grouping val="clustered"/>
        <c:varyColors val="0"/>
        <c:ser>
          <c:idx val="0"/>
          <c:order val="0"/>
          <c:tx>
            <c:strRef>
              <c:f>'Executive Dashboard'!$I$61</c:f>
              <c:strCache>
                <c:ptCount val="1"/>
                <c:pt idx="0">
                  <c:v>Total Spent</c:v>
                </c:pt>
              </c:strCache>
            </c:strRef>
          </c:tx>
          <c:spPr>
            <a:solidFill>
              <a:srgbClr val="FF420E"/>
            </a:solidFill>
            <a:ln w="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'Executive Dashboard'!$G$62:$G$71</c:f>
              <c:strCache>
                <c:ptCount val="10"/>
                <c:pt idx="0">
                  <c:v>Oliver Wright</c:v>
                </c:pt>
                <c:pt idx="1">
                  <c:v>Samuel Hall</c:v>
                </c:pt>
                <c:pt idx="2">
                  <c:v>Henry Roberts</c:v>
                </c:pt>
                <c:pt idx="3">
                  <c:v>Jack Brown</c:v>
                </c:pt>
                <c:pt idx="4">
                  <c:v>Lucas Jones</c:v>
                </c:pt>
                <c:pt idx="5">
                  <c:v>Benjamin Wilson</c:v>
                </c:pt>
                <c:pt idx="6">
                  <c:v>Sebastian Davies</c:v>
                </c:pt>
                <c:pt idx="7">
                  <c:v>Elijah Evans</c:v>
                </c:pt>
                <c:pt idx="8">
                  <c:v>Benjamin Hall</c:v>
                </c:pt>
                <c:pt idx="9">
                  <c:v>Alexander Brown</c:v>
                </c:pt>
              </c:strCache>
            </c:strRef>
          </c:cat>
          <c:val>
            <c:numRef>
              <c:f>'Executive Dashboard'!$I$62:$I$71</c:f>
              <c:numCache>
                <c:formatCode>[$£-809]#,##0.00;[RED]\-[$£-809]#,##0.00</c:formatCode>
                <c:ptCount val="10"/>
                <c:pt idx="0">
                  <c:v>159.96</c:v>
                </c:pt>
                <c:pt idx="1">
                  <c:v>159.96</c:v>
                </c:pt>
                <c:pt idx="2">
                  <c:v>164.96</c:v>
                </c:pt>
                <c:pt idx="3">
                  <c:v>164.96</c:v>
                </c:pt>
                <c:pt idx="4">
                  <c:v>174.95</c:v>
                </c:pt>
                <c:pt idx="5">
                  <c:v>179.96</c:v>
                </c:pt>
                <c:pt idx="6">
                  <c:v>189.95</c:v>
                </c:pt>
                <c:pt idx="7">
                  <c:v>219.92</c:v>
                </c:pt>
                <c:pt idx="8">
                  <c:v>229.95</c:v>
                </c:pt>
                <c:pt idx="9">
                  <c:v>239.93</c:v>
                </c:pt>
              </c:numCache>
            </c:numRef>
          </c:val>
        </c:ser>
        <c:gapWidth val="100"/>
        <c:overlap val="0"/>
        <c:axId val="31305313"/>
        <c:axId val="87179980"/>
      </c:barChart>
      <c:catAx>
        <c:axId val="31305313"/>
        <c:scaling>
          <c:orientation val="minMax"/>
        </c:scaling>
        <c:delete val="0"/>
        <c:axPos val="b"/>
        <c:numFmt formatCode="General" sourceLinked="1"/>
        <c:majorTickMark val="out"/>
        <c:minorTickMark val="none"/>
        <c:tickLblPos val="nextTo"/>
        <c:spPr>
          <a:ln w="0">
            <a:solidFill>
              <a:srgbClr val="B3B3B3"/>
            </a:solidFill>
          </a:ln>
        </c:spPr>
        <c:txPr>
          <a:bodyPr/>
          <a:lstStyle/>
          <a:p>
            <a:pPr>
              <a:defRPr sz="1000" b="0" u="none" strike="noStrike">
                <a:uFillTx/>
                <a:latin typeface="Arial"/>
              </a:defRPr>
            </a:pPr>
          </a:p>
        </c:txPr>
        <c:crossAx val="87179980"/>
        <c:crosses val="autoZero"/>
        <c:auto val="1"/>
        <c:lblAlgn val="ctr"/>
        <c:lblOffset val="100"/>
        <c:noMultiLvlLbl val="0"/>
      </c:catAx>
      <c:valAx>
        <c:axId val="87179980"/>
        <c:scaling>
          <c:orientation val="minMax"/>
        </c:scaling>
        <c:delete val="0"/>
        <c:axPos val="l"/>
        <c:majorGridlines>
          <c:spPr>
            <a:ln w="0">
              <a:solidFill>
                <a:srgbClr val="B3B3B3"/>
              </a:solidFill>
            </a:ln>
          </c:spPr>
        </c:majorGridlines>
        <c:numFmt formatCode="[$£-809]#,##0.00;[RED]\-[$£-809]#,##0.00" sourceLinked="1"/>
        <c:majorTickMark val="out"/>
        <c:minorTickMark val="none"/>
        <c:tickLblPos val="nextTo"/>
        <c:spPr>
          <a:ln w="0">
            <a:solidFill>
              <a:srgbClr val="B3B3B3"/>
            </a:solidFill>
          </a:ln>
        </c:spPr>
        <c:txPr>
          <a:bodyPr/>
          <a:lstStyle/>
          <a:p>
            <a:pPr>
              <a:defRPr sz="1000" b="0" u="none" strike="noStrike">
                <a:uFillTx/>
                <a:latin typeface="Arial"/>
              </a:defRPr>
            </a:pPr>
          </a:p>
        </c:txPr>
        <c:crossAx val="31305313"/>
        <c:crosses val="autoZero"/>
        <c:crossBetween val="between"/>
      </c:valAx>
      <c:spPr>
        <a:noFill/>
        <a:ln w="0">
          <a:solidFill>
            <a:srgbClr val="B3B3B3"/>
          </a:solidFill>
        </a:ln>
      </c:spPr>
    </c:plotArea>
    <c:legend>
      <c:legendPos val="r"/>
      <c:overlay val="0"/>
      <c:spPr>
        <a:noFill/>
        <a:ln w="0">
          <a:noFill/>
        </a:ln>
      </c:spPr>
      <c:txPr>
        <a:bodyPr/>
        <a:lstStyle/>
        <a:p>
          <a:pPr>
            <a:defRPr sz="1000" b="0" u="none" strike="noStrike">
              <a:uFillTx/>
              <a:latin typeface="Arial"/>
            </a:defRPr>
          </a:pPr>
        </a:p>
      </c:txPr>
    </c:legend>
    <c:plotVisOnly val="1"/>
    <c:dispBlanksAs val="gap"/>
  </c:chart>
  <c:spPr>
    <a:solidFill>
      <a:srgbClr val="FFFFFF"/>
    </a:solidFill>
    <a:ln w="0">
      <a:noFill/>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354600</xdr:colOff>
      <xdr:row>11</xdr:row>
      <xdr:rowOff>56520</xdr:rowOff>
    </xdr:from>
    <xdr:to>
      <xdr:col>7</xdr:col>
      <xdr:colOff>902880</xdr:colOff>
      <xdr:row>25</xdr:row>
      <xdr:rowOff>21600</xdr:rowOff>
    </xdr:to>
    <xdr:graphicFrame>
      <xdr:nvGraphicFramePr>
        <xdr:cNvPr id="1" name=""/>
        <xdr:cNvGraphicFramePr/>
      </xdr:nvGraphicFramePr>
      <xdr:xfrm>
        <a:off x="2885760" y="1960200"/>
        <a:ext cx="3866760" cy="2241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455040</xdr:colOff>
      <xdr:row>39</xdr:row>
      <xdr:rowOff>17640</xdr:rowOff>
    </xdr:from>
    <xdr:to>
      <xdr:col>4</xdr:col>
      <xdr:colOff>552240</xdr:colOff>
      <xdr:row>51</xdr:row>
      <xdr:rowOff>161640</xdr:rowOff>
    </xdr:to>
    <xdr:graphicFrame>
      <xdr:nvGraphicFramePr>
        <xdr:cNvPr id="2" name=""/>
        <xdr:cNvGraphicFramePr/>
      </xdr:nvGraphicFramePr>
      <xdr:xfrm>
        <a:off x="455040" y="6473160"/>
        <a:ext cx="3337560" cy="20944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622440</xdr:colOff>
      <xdr:row>38</xdr:row>
      <xdr:rowOff>43200</xdr:rowOff>
    </xdr:from>
    <xdr:to>
      <xdr:col>12</xdr:col>
      <xdr:colOff>144360</xdr:colOff>
      <xdr:row>50</xdr:row>
      <xdr:rowOff>55440</xdr:rowOff>
    </xdr:to>
    <xdr:graphicFrame>
      <xdr:nvGraphicFramePr>
        <xdr:cNvPr id="3" name=""/>
        <xdr:cNvGraphicFramePr/>
      </xdr:nvGraphicFramePr>
      <xdr:xfrm>
        <a:off x="7545960" y="6336000"/>
        <a:ext cx="3008520" cy="19630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196560</xdr:colOff>
      <xdr:row>69</xdr:row>
      <xdr:rowOff>45360</xdr:rowOff>
    </xdr:from>
    <xdr:to>
      <xdr:col>4</xdr:col>
      <xdr:colOff>672840</xdr:colOff>
      <xdr:row>80</xdr:row>
      <xdr:rowOff>61200</xdr:rowOff>
    </xdr:to>
    <xdr:graphicFrame>
      <xdr:nvGraphicFramePr>
        <xdr:cNvPr id="4" name=""/>
        <xdr:cNvGraphicFramePr/>
      </xdr:nvGraphicFramePr>
      <xdr:xfrm>
        <a:off x="705960" y="11377440"/>
        <a:ext cx="3207240" cy="18039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552240</xdr:colOff>
      <xdr:row>60</xdr:row>
      <xdr:rowOff>13680</xdr:rowOff>
    </xdr:from>
    <xdr:to>
      <xdr:col>13</xdr:col>
      <xdr:colOff>2016000</xdr:colOff>
      <xdr:row>74</xdr:row>
      <xdr:rowOff>68760</xdr:rowOff>
    </xdr:to>
    <xdr:graphicFrame>
      <xdr:nvGraphicFramePr>
        <xdr:cNvPr id="5" name=""/>
        <xdr:cNvGraphicFramePr/>
      </xdr:nvGraphicFramePr>
      <xdr:xfrm>
        <a:off x="8273160" y="9882720"/>
        <a:ext cx="4837680" cy="23310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r:id="rId1" recordCount="104" createdVersion="3">
  <cacheSource type="worksheet">
    <worksheetSource ref="A1:D105" sheet="top_users"/>
  </cacheSource>
  <cacheFields count="4">
    <cacheField name="user_id" numFmtId="0">
      <sharedItems containsSemiMixedTypes="0" containsString="0" containsNumber="1" containsInteger="1" minValue="10" maxValue="984" count="104">
        <n v="10"/>
        <n v="74"/>
        <n v="87"/>
        <n v="96"/>
        <n v="119"/>
        <n v="120"/>
        <n v="150"/>
        <n v="153"/>
        <n v="156"/>
        <n v="157"/>
        <n v="167"/>
        <n v="171"/>
        <n v="172"/>
        <n v="173"/>
        <n v="180"/>
        <n v="188"/>
        <n v="196"/>
        <n v="198"/>
        <n v="203"/>
        <n v="215"/>
        <n v="219"/>
        <n v="221"/>
        <n v="239"/>
        <n v="248"/>
        <n v="253"/>
        <n v="255"/>
        <n v="271"/>
        <n v="277"/>
        <n v="281"/>
        <n v="287"/>
        <n v="301"/>
        <n v="305"/>
        <n v="312"/>
        <n v="313"/>
        <n v="330"/>
        <n v="341"/>
        <n v="379"/>
        <n v="382"/>
        <n v="384"/>
        <n v="400"/>
        <n v="409"/>
        <n v="417"/>
        <n v="424"/>
        <n v="429"/>
        <n v="452"/>
        <n v="465"/>
        <n v="470"/>
        <n v="483"/>
        <n v="484"/>
        <n v="494"/>
        <n v="495"/>
        <n v="500"/>
        <n v="507"/>
        <n v="508"/>
        <n v="519"/>
        <n v="525"/>
        <n v="534"/>
        <n v="539"/>
        <n v="544"/>
        <n v="552"/>
        <n v="555"/>
        <n v="584"/>
        <n v="592"/>
        <n v="599"/>
        <n v="629"/>
        <n v="636"/>
        <n v="644"/>
        <n v="677"/>
        <n v="681"/>
        <n v="717"/>
        <n v="742"/>
        <n v="753"/>
        <n v="759"/>
        <n v="761"/>
        <n v="767"/>
        <n v="769"/>
        <n v="774"/>
        <n v="778"/>
        <n v="786"/>
        <n v="789"/>
        <n v="791"/>
        <n v="792"/>
        <n v="809"/>
        <n v="817"/>
        <n v="850"/>
        <n v="869"/>
        <n v="880"/>
        <n v="886"/>
        <n v="909"/>
        <n v="912"/>
        <n v="915"/>
        <n v="918"/>
        <n v="919"/>
        <n v="931"/>
        <n v="936"/>
        <n v="937"/>
        <n v="948"/>
        <n v="950"/>
        <n v="951"/>
        <n v="954"/>
        <n v="964"/>
        <n v="975"/>
        <n v="979"/>
        <n v="984"/>
      </sharedItems>
    </cacheField>
    <cacheField name="full_name" numFmtId="0">
      <sharedItems count="89">
        <s v="Alexander Brown"/>
        <s v="Alexander Jackson"/>
        <s v="Alexander Johnson"/>
        <s v="Alexander Wilson"/>
        <s v="Asher White"/>
        <s v="Asher Wright"/>
        <s v="Benjamin Clarke"/>
        <s v="Benjamin Evans"/>
        <s v="Benjamin Hall"/>
        <s v="Benjamin Roberts"/>
        <s v="Benjamin Robinson"/>
        <s v="Benjamin Taylor"/>
        <s v="Benjamin Wilson"/>
        <s v="Daniel Brown"/>
        <s v="Daniel Davies"/>
        <s v="Daniel Evans"/>
        <s v="Daniel Hall"/>
        <s v="Daniel Robinson"/>
        <s v="Daniel Taylor"/>
        <s v="Daniel Wood"/>
        <s v="Daniel Wright"/>
        <s v="Elijah Evans"/>
        <s v="Elijah Hall"/>
        <s v="Elijah Wilson"/>
        <s v="Elijah Wood"/>
        <s v="Henry Brown"/>
        <s v="Henry Johnson"/>
        <s v="Henry Roberts"/>
        <s v="Henry Thompson"/>
        <s v="Henry White"/>
        <s v="Jack Brown"/>
        <s v="Jack Evans"/>
        <s v="Jack Hall"/>
        <s v="Jack Smith"/>
        <s v="Jack Taylor"/>
        <s v="Jack Thompson"/>
        <s v="Jack Williams"/>
        <s v="Jack Wilson"/>
        <s v="James Davies"/>
        <s v="James Johnson"/>
        <s v="James White"/>
        <s v="James Wright"/>
        <s v="Levi Johnson"/>
        <s v="Levi Roberts"/>
        <s v="Liam Jackson"/>
        <s v="Liam Johnson"/>
        <s v="Liam Jones"/>
        <s v="Liam Smith"/>
        <s v="Liam White"/>
        <s v="Lucas Brown"/>
        <s v="Lucas Jones"/>
        <s v="Lucas Robinson"/>
        <s v="Lucas Walker"/>
        <s v="Mateo Green"/>
        <s v="Mateo Johnson"/>
        <s v="Mateo Thompson"/>
        <s v="Mateo Walker"/>
        <s v="Mateo Williams"/>
        <s v="Michael Clarke"/>
        <s v="Michael Walker"/>
        <s v="Noah Clarke"/>
        <s v="Noah Evans"/>
        <s v="Noah Green"/>
        <s v="Noah Hall"/>
        <s v="Noah Jackson"/>
        <s v="Noah Johnson"/>
        <s v="Noah Wright"/>
        <s v="Oliver Hall"/>
        <s v="Oliver Williams"/>
        <s v="Oliver Wright"/>
        <s v="Owen Brown"/>
        <s v="Owen Jackson"/>
        <s v="Owen Taylor"/>
        <s v="Owen White"/>
        <s v="Samuel Hall"/>
        <s v="Samuel Williams"/>
        <s v="Samuel Wright"/>
        <s v="Sebastian Davies"/>
        <s v="Sebastian Evans"/>
        <s v="Sebastian Smith"/>
        <s v="Sebastian Taylor"/>
        <s v="Sebastian Walker"/>
        <s v="Theodore Clarke"/>
        <s v="Theodore Hall"/>
        <s v="Theodore Johnson"/>
        <s v="William Clarke"/>
        <s v="William Evans"/>
        <s v="William Williams"/>
        <s v="William Wright"/>
      </sharedItems>
    </cacheField>
    <cacheField name="Country" numFmtId="0">
      <sharedItems count="5">
        <s v="Canada"/>
        <s v="Germany"/>
        <s v="Spain"/>
        <s v="United Kingdom"/>
        <s v="United States"/>
      </sharedItems>
    </cacheField>
    <cacheField name="Total Spent" numFmtId="0">
      <sharedItems containsSemiMixedTypes="0" containsString="0" containsNumber="1" minValue="104.96" maxValue="249.95" count="22">
        <n v="104.96"/>
        <n v="109.96"/>
        <n v="109.97"/>
        <n v="114.97"/>
        <n v="119.96"/>
        <n v="124.95"/>
        <n v="124.96"/>
        <n v="129.97"/>
        <n v="139.95"/>
        <n v="139.96"/>
        <n v="144.96"/>
        <n v="149.97"/>
        <n v="159.95"/>
        <n v="159.96"/>
        <n v="164.96"/>
        <n v="174.95"/>
        <n v="179.96"/>
        <n v="189.95"/>
        <n v="219.92"/>
        <n v="229.95"/>
        <n v="239.93"/>
        <n v="249.95"/>
      </sharedItems>
    </cacheField>
  </cacheFields>
</pivotCacheDefinition>
</file>

<file path=xl/pivotCache/pivotCacheRecords1.xml><?xml version="1.0" encoding="utf-8"?>
<pivotCacheRecords xmlns="http://schemas.openxmlformats.org/spreadsheetml/2006/main" xmlns:r="http://schemas.openxmlformats.org/officeDocument/2006/relationships" count="104">
  <r>
    <x v="93"/>
    <x v="59"/>
    <x v="3"/>
    <x v="21"/>
  </r>
  <r>
    <x v="55"/>
    <x v="0"/>
    <x v="2"/>
    <x v="20"/>
  </r>
  <r>
    <x v="33"/>
    <x v="8"/>
    <x v="0"/>
    <x v="19"/>
  </r>
  <r>
    <x v="47"/>
    <x v="21"/>
    <x v="1"/>
    <x v="18"/>
  </r>
  <r>
    <x v="101"/>
    <x v="77"/>
    <x v="0"/>
    <x v="17"/>
  </r>
  <r>
    <x v="84"/>
    <x v="12"/>
    <x v="1"/>
    <x v="16"/>
  </r>
  <r>
    <x v="56"/>
    <x v="50"/>
    <x v="4"/>
    <x v="15"/>
  </r>
  <r>
    <x v="62"/>
    <x v="30"/>
    <x v="1"/>
    <x v="14"/>
  </r>
  <r>
    <x v="10"/>
    <x v="27"/>
    <x v="3"/>
    <x v="14"/>
  </r>
  <r>
    <x v="83"/>
    <x v="63"/>
    <x v="4"/>
    <x v="13"/>
  </r>
  <r>
    <x v="68"/>
    <x v="59"/>
    <x v="4"/>
    <x v="13"/>
  </r>
  <r>
    <x v="39"/>
    <x v="6"/>
    <x v="2"/>
    <x v="13"/>
  </r>
  <r>
    <x v="58"/>
    <x v="60"/>
    <x v="3"/>
    <x v="13"/>
  </r>
  <r>
    <x v="11"/>
    <x v="74"/>
    <x v="0"/>
    <x v="13"/>
  </r>
  <r>
    <x v="6"/>
    <x v="65"/>
    <x v="3"/>
    <x v="13"/>
  </r>
  <r>
    <x v="13"/>
    <x v="24"/>
    <x v="1"/>
    <x v="13"/>
  </r>
  <r>
    <x v="30"/>
    <x v="11"/>
    <x v="0"/>
    <x v="13"/>
  </r>
  <r>
    <x v="8"/>
    <x v="69"/>
    <x v="3"/>
    <x v="13"/>
  </r>
  <r>
    <x v="89"/>
    <x v="26"/>
    <x v="1"/>
    <x v="13"/>
  </r>
  <r>
    <x v="24"/>
    <x v="61"/>
    <x v="3"/>
    <x v="13"/>
  </r>
  <r>
    <x v="77"/>
    <x v="79"/>
    <x v="1"/>
    <x v="12"/>
  </r>
  <r>
    <x v="57"/>
    <x v="39"/>
    <x v="2"/>
    <x v="12"/>
  </r>
  <r>
    <x v="37"/>
    <x v="57"/>
    <x v="3"/>
    <x v="12"/>
  </r>
  <r>
    <x v="51"/>
    <x v="22"/>
    <x v="2"/>
    <x v="11"/>
  </r>
  <r>
    <x v="22"/>
    <x v="2"/>
    <x v="2"/>
    <x v="11"/>
  </r>
  <r>
    <x v="27"/>
    <x v="86"/>
    <x v="1"/>
    <x v="11"/>
  </r>
  <r>
    <x v="38"/>
    <x v="56"/>
    <x v="4"/>
    <x v="11"/>
  </r>
  <r>
    <x v="17"/>
    <x v="51"/>
    <x v="0"/>
    <x v="11"/>
  </r>
  <r>
    <x v="59"/>
    <x v="72"/>
    <x v="2"/>
    <x v="10"/>
  </r>
  <r>
    <x v="75"/>
    <x v="55"/>
    <x v="1"/>
    <x v="10"/>
  </r>
  <r>
    <x v="94"/>
    <x v="27"/>
    <x v="4"/>
    <x v="10"/>
  </r>
  <r>
    <x v="29"/>
    <x v="84"/>
    <x v="2"/>
    <x v="10"/>
  </r>
  <r>
    <x v="81"/>
    <x v="17"/>
    <x v="1"/>
    <x v="10"/>
  </r>
  <r>
    <x v="78"/>
    <x v="83"/>
    <x v="1"/>
    <x v="9"/>
  </r>
  <r>
    <x v="49"/>
    <x v="19"/>
    <x v="3"/>
    <x v="9"/>
  </r>
  <r>
    <x v="0"/>
    <x v="44"/>
    <x v="3"/>
    <x v="9"/>
  </r>
  <r>
    <x v="20"/>
    <x v="38"/>
    <x v="3"/>
    <x v="8"/>
  </r>
  <r>
    <x v="63"/>
    <x v="67"/>
    <x v="1"/>
    <x v="8"/>
  </r>
  <r>
    <x v="65"/>
    <x v="29"/>
    <x v="2"/>
    <x v="8"/>
  </r>
  <r>
    <x v="99"/>
    <x v="77"/>
    <x v="0"/>
    <x v="7"/>
  </r>
  <r>
    <x v="44"/>
    <x v="81"/>
    <x v="1"/>
    <x v="7"/>
  </r>
  <r>
    <x v="87"/>
    <x v="41"/>
    <x v="3"/>
    <x v="7"/>
  </r>
  <r>
    <x v="92"/>
    <x v="62"/>
    <x v="3"/>
    <x v="7"/>
  </r>
  <r>
    <x v="91"/>
    <x v="78"/>
    <x v="4"/>
    <x v="7"/>
  </r>
  <r>
    <x v="21"/>
    <x v="31"/>
    <x v="3"/>
    <x v="7"/>
  </r>
  <r>
    <x v="73"/>
    <x v="25"/>
    <x v="3"/>
    <x v="7"/>
  </r>
  <r>
    <x v="40"/>
    <x v="85"/>
    <x v="2"/>
    <x v="7"/>
  </r>
  <r>
    <x v="19"/>
    <x v="47"/>
    <x v="2"/>
    <x v="7"/>
  </r>
  <r>
    <x v="60"/>
    <x v="10"/>
    <x v="4"/>
    <x v="7"/>
  </r>
  <r>
    <x v="2"/>
    <x v="58"/>
    <x v="4"/>
    <x v="7"/>
  </r>
  <r>
    <x v="18"/>
    <x v="35"/>
    <x v="2"/>
    <x v="7"/>
  </r>
  <r>
    <x v="3"/>
    <x v="73"/>
    <x v="1"/>
    <x v="7"/>
  </r>
  <r>
    <x v="86"/>
    <x v="55"/>
    <x v="2"/>
    <x v="7"/>
  </r>
  <r>
    <x v="80"/>
    <x v="82"/>
    <x v="1"/>
    <x v="6"/>
  </r>
  <r>
    <x v="74"/>
    <x v="16"/>
    <x v="3"/>
    <x v="6"/>
  </r>
  <r>
    <x v="43"/>
    <x v="36"/>
    <x v="0"/>
    <x v="6"/>
  </r>
  <r>
    <x v="31"/>
    <x v="23"/>
    <x v="1"/>
    <x v="6"/>
  </r>
  <r>
    <x v="16"/>
    <x v="3"/>
    <x v="1"/>
    <x v="6"/>
  </r>
  <r>
    <x v="54"/>
    <x v="13"/>
    <x v="1"/>
    <x v="5"/>
  </r>
  <r>
    <x v="102"/>
    <x v="54"/>
    <x v="2"/>
    <x v="4"/>
  </r>
  <r>
    <x v="52"/>
    <x v="9"/>
    <x v="1"/>
    <x v="4"/>
  </r>
  <r>
    <x v="34"/>
    <x v="66"/>
    <x v="0"/>
    <x v="4"/>
  </r>
  <r>
    <x v="100"/>
    <x v="79"/>
    <x v="4"/>
    <x v="4"/>
  </r>
  <r>
    <x v="36"/>
    <x v="80"/>
    <x v="3"/>
    <x v="3"/>
  </r>
  <r>
    <x v="67"/>
    <x v="32"/>
    <x v="2"/>
    <x v="3"/>
  </r>
  <r>
    <x v="69"/>
    <x v="70"/>
    <x v="1"/>
    <x v="3"/>
  </r>
  <r>
    <x v="97"/>
    <x v="15"/>
    <x v="4"/>
    <x v="3"/>
  </r>
  <r>
    <x v="98"/>
    <x v="40"/>
    <x v="4"/>
    <x v="3"/>
  </r>
  <r>
    <x v="96"/>
    <x v="52"/>
    <x v="0"/>
    <x v="3"/>
  </r>
  <r>
    <x v="71"/>
    <x v="33"/>
    <x v="4"/>
    <x v="3"/>
  </r>
  <r>
    <x v="95"/>
    <x v="20"/>
    <x v="1"/>
    <x v="3"/>
  </r>
  <r>
    <x v="64"/>
    <x v="28"/>
    <x v="4"/>
    <x v="3"/>
  </r>
  <r>
    <x v="72"/>
    <x v="37"/>
    <x v="3"/>
    <x v="3"/>
  </r>
  <r>
    <x v="88"/>
    <x v="4"/>
    <x v="3"/>
    <x v="3"/>
  </r>
  <r>
    <x v="90"/>
    <x v="75"/>
    <x v="2"/>
    <x v="3"/>
  </r>
  <r>
    <x v="70"/>
    <x v="5"/>
    <x v="3"/>
    <x v="2"/>
  </r>
  <r>
    <x v="23"/>
    <x v="34"/>
    <x v="4"/>
    <x v="2"/>
  </r>
  <r>
    <x v="9"/>
    <x v="49"/>
    <x v="1"/>
    <x v="2"/>
  </r>
  <r>
    <x v="61"/>
    <x v="88"/>
    <x v="3"/>
    <x v="2"/>
  </r>
  <r>
    <x v="4"/>
    <x v="51"/>
    <x v="0"/>
    <x v="2"/>
  </r>
  <r>
    <x v="28"/>
    <x v="75"/>
    <x v="1"/>
    <x v="2"/>
  </r>
  <r>
    <x v="48"/>
    <x v="76"/>
    <x v="2"/>
    <x v="2"/>
  </r>
  <r>
    <x v="15"/>
    <x v="46"/>
    <x v="4"/>
    <x v="2"/>
  </r>
  <r>
    <x v="46"/>
    <x v="80"/>
    <x v="0"/>
    <x v="2"/>
  </r>
  <r>
    <x v="14"/>
    <x v="43"/>
    <x v="1"/>
    <x v="2"/>
  </r>
  <r>
    <x v="32"/>
    <x v="53"/>
    <x v="2"/>
    <x v="2"/>
  </r>
  <r>
    <x v="1"/>
    <x v="14"/>
    <x v="0"/>
    <x v="2"/>
  </r>
  <r>
    <x v="25"/>
    <x v="46"/>
    <x v="3"/>
    <x v="2"/>
  </r>
  <r>
    <x v="12"/>
    <x v="68"/>
    <x v="2"/>
    <x v="2"/>
  </r>
  <r>
    <x v="7"/>
    <x v="1"/>
    <x v="3"/>
    <x v="2"/>
  </r>
  <r>
    <x v="53"/>
    <x v="45"/>
    <x v="4"/>
    <x v="2"/>
  </r>
  <r>
    <x v="66"/>
    <x v="53"/>
    <x v="4"/>
    <x v="2"/>
  </r>
  <r>
    <x v="5"/>
    <x v="7"/>
    <x v="2"/>
    <x v="2"/>
  </r>
  <r>
    <x v="41"/>
    <x v="87"/>
    <x v="2"/>
    <x v="2"/>
  </r>
  <r>
    <x v="82"/>
    <x v="61"/>
    <x v="3"/>
    <x v="1"/>
  </r>
  <r>
    <x v="79"/>
    <x v="64"/>
    <x v="2"/>
    <x v="1"/>
  </r>
  <r>
    <x v="103"/>
    <x v="34"/>
    <x v="1"/>
    <x v="1"/>
  </r>
  <r>
    <x v="35"/>
    <x v="71"/>
    <x v="4"/>
    <x v="1"/>
  </r>
  <r>
    <x v="85"/>
    <x v="71"/>
    <x v="3"/>
    <x v="1"/>
  </r>
  <r>
    <x v="42"/>
    <x v="24"/>
    <x v="4"/>
    <x v="1"/>
  </r>
  <r>
    <x v="50"/>
    <x v="72"/>
    <x v="0"/>
    <x v="0"/>
  </r>
  <r>
    <x v="26"/>
    <x v="18"/>
    <x v="2"/>
    <x v="0"/>
  </r>
  <r>
    <x v="45"/>
    <x v="48"/>
    <x v="4"/>
    <x v="0"/>
  </r>
  <r>
    <x v="76"/>
    <x v="42"/>
    <x v="3"/>
    <x v="0"/>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name="DataPilot1" cacheId="1" dataOnRows="0" applyNumberFormats="0" applyBorderFormats="0" applyFontFormats="0" applyPatternFormats="0" applyAlignmentFormats="0" applyWidthHeightFormats="0" dataCaption="Values" showDrill="0" useAutoFormatting="0" itemPrintTitles="1" indent="0" outline="1" outlineData="1" compact="1" compactData="1">
  <location ref="A1:A2" firstHeaderRow="1" firstDataRow="1" firstDataCol="0"/>
  <pivotFields count="4">
    <pivotField compact="0" showAll="0"/>
    <pivotField compact="0" showAll="0"/>
    <pivotField compact="0" showAll="0"/>
    <pivotField compact="0" showAll="0"/>
  </pivotFields>
  <rowItems count="1">
    <i/>
  </rowItems>
  <colItems count="1">
    <i/>
  </colItem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DataPilot2" cacheId="1" dataOnRows="0" applyNumberFormats="0" applyBorderFormats="0" applyFontFormats="0" applyPatternFormats="0" applyAlignmentFormats="0" applyWidthHeightFormats="0" dataCaption="Values" showDrill="0" useAutoFormatting="0" itemPrintTitles="1" indent="0" outline="0" outlineData="0" compact="0" compactData="0">
  <location ref="A1:C25" firstHeaderRow="1" firstDataRow="1" firstDataCol="2"/>
  <pivotFields count="4">
    <pivotField axis="axisRow" compact="0" outline="0" showAll="0" defaultSubtotal="0">
      <items count="104">
        <item x="6"/>
        <item x="8"/>
        <item x="10"/>
        <item x="11"/>
        <item x="13"/>
        <item x="24"/>
        <item x="30"/>
        <item x="33"/>
        <item x="37"/>
        <item x="39"/>
        <item x="47"/>
        <item x="55"/>
        <item x="56"/>
        <item x="57"/>
        <item x="58"/>
        <item x="62"/>
        <item x="68"/>
        <item x="77"/>
        <item x="83"/>
        <item x="84"/>
        <item x="89"/>
        <item x="93"/>
        <item x="101"/>
        <item h="1" x="0"/>
        <item h="1" x="1"/>
        <item h="1" x="2"/>
        <item h="1" x="3"/>
        <item h="1" x="4"/>
        <item h="1" x="5"/>
        <item h="1" x="7"/>
        <item h="1" x="9"/>
        <item h="1" x="12"/>
        <item h="1" x="14"/>
        <item h="1" x="15"/>
        <item h="1" x="16"/>
        <item h="1" x="17"/>
        <item h="1" x="18"/>
        <item h="1" x="19"/>
        <item h="1" x="20"/>
        <item h="1" x="21"/>
        <item h="1" x="22"/>
        <item h="1" x="23"/>
        <item h="1" x="25"/>
        <item h="1" x="26"/>
        <item h="1" x="27"/>
        <item h="1" x="28"/>
        <item h="1" x="29"/>
        <item h="1" x="31"/>
        <item h="1" x="32"/>
        <item h="1" x="34"/>
        <item h="1" x="35"/>
        <item h="1" x="36"/>
        <item h="1" x="38"/>
        <item h="1" x="40"/>
        <item h="1" x="41"/>
        <item h="1" x="42"/>
        <item h="1" x="43"/>
        <item h="1" x="44"/>
        <item h="1" x="45"/>
        <item h="1" x="46"/>
        <item h="1" x="48"/>
        <item h="1" x="49"/>
        <item h="1" x="50"/>
        <item h="1" x="51"/>
        <item h="1" x="52"/>
        <item h="1" x="53"/>
        <item h="1" x="54"/>
        <item h="1" x="59"/>
        <item h="1" x="60"/>
        <item h="1" x="61"/>
        <item h="1" x="63"/>
        <item h="1" x="64"/>
        <item h="1" x="65"/>
        <item h="1" x="66"/>
        <item h="1" x="67"/>
        <item h="1" x="69"/>
        <item h="1" x="70"/>
        <item h="1" x="71"/>
        <item h="1" x="72"/>
        <item h="1" x="73"/>
        <item h="1" x="74"/>
        <item h="1" x="75"/>
        <item h="1" x="76"/>
        <item h="1" x="78"/>
        <item h="1" x="79"/>
        <item h="1" x="80"/>
        <item h="1" x="81"/>
        <item h="1" x="82"/>
        <item h="1" x="85"/>
        <item h="1" x="86"/>
        <item h="1" x="87"/>
        <item h="1" x="88"/>
        <item h="1" x="90"/>
        <item h="1" x="91"/>
        <item h="1" x="92"/>
        <item h="1" x="94"/>
        <item h="1" x="95"/>
        <item h="1" x="96"/>
        <item h="1" x="97"/>
        <item h="1" x="98"/>
        <item h="1" x="99"/>
        <item h="1" x="100"/>
        <item h="1" x="102"/>
        <item h="1" x="103"/>
      </items>
    </pivotField>
    <pivotField axis="axisRow" compact="0" outline="0" showAll="0" defaultSubtotal="0">
      <items count="89">
        <item x="0"/>
        <item x="6"/>
        <item x="8"/>
        <item x="11"/>
        <item x="12"/>
        <item x="21"/>
        <item x="24"/>
        <item x="26"/>
        <item x="27"/>
        <item x="30"/>
        <item x="39"/>
        <item x="50"/>
        <item x="57"/>
        <item x="59"/>
        <item x="60"/>
        <item x="61"/>
        <item x="63"/>
        <item x="65"/>
        <item x="69"/>
        <item x="74"/>
        <item x="77"/>
        <item x="79"/>
        <item h="1" x="1"/>
        <item h="1" x="2"/>
        <item h="1" x="3"/>
        <item h="1" x="4"/>
        <item h="1" x="5"/>
        <item h="1" x="7"/>
        <item h="1" x="9"/>
        <item h="1" x="10"/>
        <item h="1" x="13"/>
        <item h="1" x="14"/>
        <item h="1" x="15"/>
        <item h="1" x="16"/>
        <item h="1" x="17"/>
        <item h="1" x="18"/>
        <item h="1" x="19"/>
        <item h="1" x="20"/>
        <item h="1" x="22"/>
        <item h="1" x="23"/>
        <item h="1" x="25"/>
        <item h="1" x="28"/>
        <item h="1" x="29"/>
        <item h="1" x="31"/>
        <item h="1" x="32"/>
        <item h="1" x="33"/>
        <item h="1" x="34"/>
        <item h="1" x="35"/>
        <item h="1" x="36"/>
        <item h="1" x="37"/>
        <item h="1" x="38"/>
        <item h="1" x="40"/>
        <item h="1" x="41"/>
        <item h="1" x="42"/>
        <item h="1" x="43"/>
        <item h="1" x="44"/>
        <item h="1" x="45"/>
        <item h="1" x="46"/>
        <item h="1" x="47"/>
        <item h="1" x="48"/>
        <item h="1" x="49"/>
        <item h="1" x="51"/>
        <item h="1" x="52"/>
        <item h="1" x="53"/>
        <item h="1" x="54"/>
        <item h="1" x="55"/>
        <item h="1" x="56"/>
        <item h="1" x="58"/>
        <item h="1" x="62"/>
        <item h="1" x="64"/>
        <item h="1" x="66"/>
        <item h="1" x="67"/>
        <item h="1" x="68"/>
        <item h="1" x="70"/>
        <item h="1" x="71"/>
        <item h="1" x="72"/>
        <item h="1" x="73"/>
        <item h="1" x="75"/>
        <item h="1" x="76"/>
        <item h="1" x="78"/>
        <item h="1" x="80"/>
        <item h="1" x="81"/>
        <item h="1" x="82"/>
        <item h="1" x="83"/>
        <item h="1" x="84"/>
        <item h="1" x="85"/>
        <item h="1" x="86"/>
        <item h="1" x="87"/>
        <item h="1" x="88"/>
      </items>
    </pivotField>
    <pivotField compact="0" showAll="0"/>
    <pivotField dataField="1" compact="0" outline="0" showAll="0"/>
  </pivotFields>
  <rowFields count="2">
    <field x="1"/>
    <field x="0"/>
  </rowFields>
  <rowItems count="24">
    <i>
      <x/>
      <x v="11"/>
    </i>
    <i>
      <x v="1"/>
      <x v="9"/>
    </i>
    <i>
      <x v="2"/>
      <x v="7"/>
    </i>
    <i>
      <x v="3"/>
      <x v="6"/>
    </i>
    <i>
      <x v="4"/>
      <x v="19"/>
    </i>
    <i>
      <x v="5"/>
      <x v="10"/>
    </i>
    <i>
      <x v="6"/>
      <x v="4"/>
    </i>
    <i>
      <x v="7"/>
      <x v="20"/>
    </i>
    <i>
      <x v="8"/>
      <x v="2"/>
    </i>
    <i>
      <x v="9"/>
      <x v="15"/>
    </i>
    <i>
      <x v="10"/>
      <x v="13"/>
    </i>
    <i>
      <x v="11"/>
      <x v="12"/>
    </i>
    <i>
      <x v="12"/>
      <x v="8"/>
    </i>
    <i>
      <x v="13"/>
      <x v="16"/>
    </i>
    <i r="1">
      <x v="21"/>
    </i>
    <i>
      <x v="14"/>
      <x v="14"/>
    </i>
    <i>
      <x v="15"/>
      <x v="5"/>
    </i>
    <i>
      <x v="16"/>
      <x v="18"/>
    </i>
    <i>
      <x v="17"/>
      <x/>
    </i>
    <i>
      <x v="18"/>
      <x v="1"/>
    </i>
    <i>
      <x v="19"/>
      <x v="3"/>
    </i>
    <i>
      <x v="20"/>
      <x v="22"/>
    </i>
    <i>
      <x v="21"/>
      <x v="17"/>
    </i>
    <i t="grand">
      <x/>
    </i>
  </rowItems>
  <colItems count="1">
    <i/>
  </colItems>
  <dataFields count="1">
    <dataField name="Sum - Total Spent" fld="3" subtotal="sum" numFmtId="164"/>
  </dataFields>
  <pivotTableStyleInfo name="PivotStyleLight16" showRowHeaders="1" showColHeaders="1" showRowStripes="0" showColStripes="0" showLastColumn="1"/>
</pivotTableDefinition>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pivotTable" Target="../pivotTables/pivotTable2.xml"/>
</Relationships>
</file>

<file path=xl/worksheets/_rels/sheet7.xml.rels><?xml version="1.0" encoding="UTF-8"?>
<Relationships xmlns="http://schemas.openxmlformats.org/package/2006/relationships"><Relationship Id="rId1" Type="http://schemas.openxmlformats.org/officeDocument/2006/relationships/pivotTable" Target="../pivotTables/pivot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90"/>
  <sheetViews>
    <sheetView showFormulas="false" showGridLines="true" showRowColHeaders="true" showZeros="true" rightToLeft="false" tabSelected="true" showOutlineSymbols="true" defaultGridColor="true" view="normal" topLeftCell="A28" colorId="64" zoomScale="55" zoomScaleNormal="55" zoomScalePageLayoutView="100" workbookViewId="0">
      <selection pane="topLeft" activeCell="M89" activeCellId="0" sqref="M89"/>
    </sheetView>
  </sheetViews>
  <sheetFormatPr defaultColWidth="11.53515625" defaultRowHeight="12.8" customHeight="false" zeroHeight="false" outlineLevelRow="0" outlineLevelCol="0"/>
  <cols>
    <col collapsed="false" customWidth="true" hidden="false" outlineLevel="0" max="1" min="1" style="1" width="7.23"/>
    <col collapsed="false" customWidth="true" hidden="false" outlineLevel="0" max="2" min="2" style="1" width="13.99"/>
    <col collapsed="false" customWidth="true" hidden="false" outlineLevel="0" max="3" min="3" style="1" width="14.69"/>
    <col collapsed="false" customWidth="true" hidden="false" outlineLevel="0" max="4" min="4" style="1" width="10.06"/>
    <col collapsed="false" customWidth="true" hidden="false" outlineLevel="0" max="5" min="5" style="1" width="13.95"/>
    <col collapsed="false" customWidth="false" hidden="false" outlineLevel="0" max="7" min="6" style="1" width="11.53"/>
    <col collapsed="false" customWidth="true" hidden="false" outlineLevel="0" max="8" min="8" style="1" width="15.24"/>
    <col collapsed="false" customWidth="true" hidden="false" outlineLevel="0" max="9" min="9" style="1" width="11.31"/>
    <col collapsed="false" customWidth="true" hidden="false" outlineLevel="0" max="10" min="10" style="1" width="15.09"/>
    <col collapsed="false" customWidth="false" hidden="false" outlineLevel="0" max="12" min="11" style="1" width="11.53"/>
    <col collapsed="false" customWidth="true" hidden="false" outlineLevel="0" max="13" min="13" style="1" width="9.71"/>
    <col collapsed="false" customWidth="true" hidden="false" outlineLevel="0" max="14" min="14" style="1" width="29.51"/>
    <col collapsed="false" customWidth="false" hidden="false" outlineLevel="0" max="16384" min="15" style="1" width="11.53"/>
  </cols>
  <sheetData>
    <row r="1" customFormat="false" ht="12.8" hidden="false" customHeight="false" outlineLevel="0" collapsed="false">
      <c r="A1" s="2" t="s">
        <v>0</v>
      </c>
      <c r="B1" s="2"/>
      <c r="C1" s="2"/>
      <c r="D1" s="2"/>
      <c r="E1" s="2"/>
      <c r="F1" s="2"/>
      <c r="G1" s="2"/>
      <c r="H1" s="2"/>
      <c r="I1" s="2"/>
      <c r="J1" s="2"/>
      <c r="K1" s="2"/>
      <c r="L1" s="2"/>
      <c r="M1" s="2"/>
      <c r="N1" s="2"/>
    </row>
    <row r="2" customFormat="false" ht="12.8" hidden="false" customHeight="false" outlineLevel="0" collapsed="false">
      <c r="A2" s="2"/>
      <c r="B2" s="2"/>
      <c r="C2" s="2"/>
      <c r="D2" s="2"/>
      <c r="E2" s="2"/>
      <c r="F2" s="2"/>
      <c r="G2" s="2"/>
      <c r="H2" s="2"/>
      <c r="I2" s="2"/>
      <c r="J2" s="2"/>
      <c r="K2" s="2"/>
      <c r="L2" s="2"/>
      <c r="M2" s="2"/>
      <c r="N2" s="2"/>
    </row>
    <row r="3" customFormat="false" ht="12.8" hidden="false" customHeight="false" outlineLevel="0" collapsed="false">
      <c r="A3" s="2"/>
      <c r="B3" s="2"/>
      <c r="C3" s="2"/>
      <c r="D3" s="2"/>
      <c r="E3" s="2"/>
      <c r="F3" s="2"/>
      <c r="G3" s="2"/>
      <c r="H3" s="2"/>
      <c r="I3" s="2"/>
      <c r="J3" s="2"/>
      <c r="K3" s="2"/>
      <c r="L3" s="2"/>
      <c r="M3" s="2"/>
      <c r="N3" s="2"/>
    </row>
    <row r="4" customFormat="false" ht="12.8" hidden="false" customHeight="true" outlineLevel="0" collapsed="false">
      <c r="A4" s="3" t="s">
        <v>1</v>
      </c>
      <c r="B4" s="3"/>
      <c r="C4" s="3"/>
      <c r="D4" s="3"/>
      <c r="E4" s="3"/>
      <c r="F4" s="3"/>
      <c r="G4" s="3"/>
      <c r="H4" s="3"/>
      <c r="I4" s="3"/>
      <c r="J4" s="3"/>
      <c r="K4" s="3"/>
      <c r="L4" s="3"/>
      <c r="M4" s="3"/>
      <c r="N4" s="3"/>
    </row>
    <row r="5" customFormat="false" ht="12.8" hidden="false" customHeight="false" outlineLevel="0" collapsed="false">
      <c r="A5" s="3"/>
      <c r="B5" s="3"/>
      <c r="C5" s="3"/>
      <c r="D5" s="3"/>
      <c r="E5" s="3"/>
      <c r="F5" s="3"/>
      <c r="G5" s="3"/>
      <c r="H5" s="3"/>
      <c r="I5" s="3"/>
      <c r="J5" s="3"/>
      <c r="K5" s="3"/>
      <c r="L5" s="3"/>
      <c r="M5" s="3"/>
      <c r="N5" s="3"/>
    </row>
    <row r="6" customFormat="false" ht="12.8" hidden="false" customHeight="false" outlineLevel="0" collapsed="false">
      <c r="A6" s="3"/>
      <c r="B6" s="3"/>
      <c r="C6" s="3"/>
      <c r="D6" s="3"/>
      <c r="E6" s="3"/>
      <c r="F6" s="3"/>
      <c r="G6" s="3"/>
      <c r="H6" s="3"/>
      <c r="I6" s="3"/>
      <c r="J6" s="3"/>
      <c r="K6" s="3"/>
      <c r="L6" s="3"/>
      <c r="M6" s="3"/>
      <c r="N6" s="3"/>
    </row>
    <row r="7" customFormat="false" ht="12.8" hidden="false" customHeight="false" outlineLevel="0" collapsed="false">
      <c r="A7" s="3"/>
      <c r="B7" s="3"/>
      <c r="C7" s="3"/>
      <c r="D7" s="3"/>
      <c r="E7" s="3"/>
      <c r="F7" s="3"/>
      <c r="G7" s="3"/>
      <c r="H7" s="3"/>
      <c r="I7" s="3"/>
      <c r="J7" s="3"/>
      <c r="K7" s="3"/>
      <c r="L7" s="3"/>
      <c r="M7" s="3"/>
      <c r="N7" s="3"/>
    </row>
    <row r="8" customFormat="false" ht="17.35" hidden="false" customHeight="false" outlineLevel="0" collapsed="false">
      <c r="A8" s="4" t="s">
        <v>2</v>
      </c>
      <c r="B8" s="4"/>
      <c r="C8" s="4"/>
      <c r="D8" s="4"/>
      <c r="E8" s="4"/>
      <c r="F8" s="4"/>
      <c r="G8" s="4"/>
      <c r="H8" s="4"/>
      <c r="I8" s="4"/>
      <c r="J8" s="4"/>
      <c r="K8" s="4"/>
      <c r="L8" s="4"/>
      <c r="M8" s="4"/>
      <c r="N8" s="4"/>
    </row>
    <row r="9" customFormat="false" ht="12.8" hidden="false" customHeight="false" outlineLevel="0" collapsed="false">
      <c r="A9" s="4"/>
      <c r="B9" s="4"/>
      <c r="C9" s="4"/>
      <c r="D9" s="4"/>
      <c r="E9" s="4"/>
      <c r="F9" s="4"/>
      <c r="G9" s="4"/>
      <c r="H9" s="4"/>
      <c r="I9" s="4"/>
      <c r="J9" s="4"/>
      <c r="K9" s="4"/>
      <c r="L9" s="4"/>
      <c r="M9" s="4"/>
      <c r="N9" s="4"/>
    </row>
    <row r="10" customFormat="false" ht="17.35" hidden="false" customHeight="false" outlineLevel="0" collapsed="false">
      <c r="A10" s="4"/>
      <c r="B10" s="4"/>
      <c r="C10" s="4"/>
      <c r="D10" s="4"/>
      <c r="E10" s="4"/>
      <c r="F10" s="4"/>
      <c r="G10" s="4"/>
      <c r="H10" s="4"/>
      <c r="I10" s="4"/>
      <c r="J10" s="4"/>
      <c r="K10" s="4"/>
      <c r="L10" s="4"/>
      <c r="M10" s="4"/>
      <c r="N10" s="4"/>
    </row>
    <row r="12" customFormat="false" ht="12.8" hidden="false" customHeight="true" outlineLevel="0" collapsed="false">
      <c r="I12" s="5" t="s">
        <v>3</v>
      </c>
      <c r="J12" s="5"/>
      <c r="K12" s="5"/>
      <c r="L12" s="5"/>
      <c r="M12" s="5"/>
      <c r="N12" s="5"/>
    </row>
    <row r="13" customFormat="false" ht="12.8" hidden="false" customHeight="false" outlineLevel="0" collapsed="false">
      <c r="I13" s="5"/>
      <c r="J13" s="5"/>
      <c r="K13" s="5"/>
      <c r="L13" s="5"/>
      <c r="M13" s="5"/>
      <c r="N13" s="5"/>
    </row>
    <row r="14" customFormat="false" ht="12.8" hidden="false" customHeight="false" outlineLevel="0" collapsed="false">
      <c r="B14" s="6" t="s">
        <v>4</v>
      </c>
      <c r="C14" s="7" t="s">
        <v>5</v>
      </c>
      <c r="I14" s="5"/>
      <c r="J14" s="5"/>
      <c r="K14" s="5"/>
      <c r="L14" s="5"/>
      <c r="M14" s="5"/>
      <c r="N14" s="5"/>
    </row>
    <row r="15" customFormat="false" ht="12.8" hidden="false" customHeight="false" outlineLevel="0" collapsed="false">
      <c r="B15" s="8" t="s">
        <v>6</v>
      </c>
      <c r="C15" s="9" t="n">
        <v>8557.35</v>
      </c>
      <c r="I15" s="5"/>
      <c r="J15" s="5"/>
      <c r="K15" s="5"/>
      <c r="L15" s="5"/>
      <c r="M15" s="5"/>
      <c r="N15" s="5"/>
    </row>
    <row r="16" customFormat="false" ht="12.8" hidden="false" customHeight="false" outlineLevel="0" collapsed="false">
      <c r="B16" s="8" t="s">
        <v>7</v>
      </c>
      <c r="C16" s="9" t="n">
        <v>9007.2</v>
      </c>
      <c r="I16" s="5"/>
      <c r="J16" s="5"/>
      <c r="K16" s="5"/>
      <c r="L16" s="5"/>
      <c r="M16" s="5"/>
      <c r="N16" s="5"/>
    </row>
    <row r="17" customFormat="false" ht="12.8" hidden="false" customHeight="false" outlineLevel="0" collapsed="false">
      <c r="B17" s="8" t="s">
        <v>8</v>
      </c>
      <c r="C17" s="9" t="n">
        <v>9647.01</v>
      </c>
      <c r="I17" s="5"/>
      <c r="J17" s="5"/>
      <c r="K17" s="5"/>
      <c r="L17" s="5"/>
      <c r="M17" s="5"/>
      <c r="N17" s="5"/>
    </row>
    <row r="18" customFormat="false" ht="12.8" hidden="false" customHeight="false" outlineLevel="0" collapsed="false">
      <c r="B18" s="8" t="s">
        <v>9</v>
      </c>
      <c r="C18" s="9" t="n">
        <v>10126.74</v>
      </c>
      <c r="I18" s="5"/>
      <c r="J18" s="5"/>
      <c r="K18" s="5"/>
      <c r="L18" s="5"/>
      <c r="M18" s="5"/>
      <c r="N18" s="5"/>
    </row>
    <row r="19" customFormat="false" ht="12.8" hidden="false" customHeight="false" outlineLevel="0" collapsed="false">
      <c r="B19" s="10" t="s">
        <v>10</v>
      </c>
      <c r="C19" s="11" t="n">
        <v>10701.7</v>
      </c>
      <c r="I19" s="5"/>
      <c r="J19" s="5"/>
      <c r="K19" s="5"/>
      <c r="L19" s="5"/>
      <c r="M19" s="5"/>
      <c r="N19" s="5"/>
    </row>
    <row r="20" customFormat="false" ht="12.8" hidden="false" customHeight="false" outlineLevel="0" collapsed="false">
      <c r="I20" s="5"/>
      <c r="J20" s="5"/>
      <c r="K20" s="5"/>
      <c r="L20" s="5"/>
      <c r="M20" s="5"/>
      <c r="N20" s="5"/>
    </row>
    <row r="21" customFormat="false" ht="12.8" hidden="false" customHeight="false" outlineLevel="0" collapsed="false">
      <c r="I21" s="5"/>
      <c r="J21" s="5"/>
      <c r="K21" s="5"/>
      <c r="L21" s="5"/>
      <c r="M21" s="5"/>
      <c r="N21" s="5"/>
    </row>
    <row r="22" customFormat="false" ht="12.8" hidden="false" customHeight="false" outlineLevel="0" collapsed="false">
      <c r="I22" s="5"/>
      <c r="J22" s="5"/>
      <c r="K22" s="5"/>
      <c r="L22" s="5"/>
      <c r="M22" s="5"/>
      <c r="N22" s="5"/>
    </row>
    <row r="23" customFormat="false" ht="12.8" hidden="false" customHeight="false" outlineLevel="0" collapsed="false">
      <c r="I23" s="5"/>
      <c r="J23" s="5"/>
      <c r="K23" s="5"/>
      <c r="L23" s="5"/>
      <c r="M23" s="5"/>
      <c r="N23" s="5"/>
    </row>
    <row r="29" customFormat="false" ht="12.8" hidden="false" customHeight="false" outlineLevel="0" collapsed="false">
      <c r="A29" s="12" t="s">
        <v>11</v>
      </c>
      <c r="B29" s="12"/>
      <c r="C29" s="12"/>
      <c r="D29" s="12"/>
      <c r="E29" s="12"/>
      <c r="F29" s="12"/>
      <c r="G29" s="12"/>
      <c r="H29" s="12"/>
      <c r="I29" s="12"/>
      <c r="J29" s="12"/>
      <c r="K29" s="12"/>
      <c r="L29" s="12"/>
      <c r="M29" s="12"/>
      <c r="N29" s="12"/>
    </row>
    <row r="30" customFormat="false" ht="12.8" hidden="false" customHeight="false" outlineLevel="0" collapsed="false">
      <c r="A30" s="12"/>
      <c r="B30" s="12"/>
      <c r="C30" s="12"/>
      <c r="D30" s="12"/>
      <c r="E30" s="12"/>
      <c r="F30" s="12"/>
      <c r="G30" s="12"/>
      <c r="H30" s="12"/>
      <c r="I30" s="12"/>
      <c r="J30" s="12"/>
      <c r="K30" s="12"/>
      <c r="L30" s="12"/>
      <c r="M30" s="12"/>
      <c r="N30" s="12"/>
    </row>
    <row r="31" customFormat="false" ht="12.8" hidden="false" customHeight="true" outlineLevel="0" collapsed="false">
      <c r="N31" s="13" t="s">
        <v>12</v>
      </c>
    </row>
    <row r="32" customFormat="false" ht="12.8" hidden="false" customHeight="false" outlineLevel="0" collapsed="false">
      <c r="N32" s="13"/>
    </row>
    <row r="33" customFormat="false" ht="12.8" hidden="false" customHeight="false" outlineLevel="0" collapsed="false">
      <c r="N33" s="13"/>
    </row>
    <row r="34" customFormat="false" ht="12.8" hidden="false" customHeight="true" outlineLevel="0" collapsed="false">
      <c r="B34" s="14" t="s">
        <v>13</v>
      </c>
      <c r="C34" s="15" t="s">
        <v>14</v>
      </c>
      <c r="D34" s="16" t="s">
        <v>15</v>
      </c>
      <c r="F34" s="17" t="s">
        <v>16</v>
      </c>
      <c r="G34" s="17"/>
      <c r="H34" s="17"/>
      <c r="J34" s="18" t="s">
        <v>17</v>
      </c>
      <c r="K34" s="19" t="s">
        <v>18</v>
      </c>
      <c r="L34" s="19" t="s">
        <v>5</v>
      </c>
      <c r="N34" s="13"/>
    </row>
    <row r="35" customFormat="false" ht="12.8" hidden="false" customHeight="false" outlineLevel="0" collapsed="false">
      <c r="B35" s="20" t="s">
        <v>19</v>
      </c>
      <c r="C35" s="21" t="n">
        <v>252</v>
      </c>
      <c r="D35" s="22" t="n">
        <f aca="false">C35/C37</f>
        <v>0.252</v>
      </c>
      <c r="F35" s="17"/>
      <c r="G35" s="17"/>
      <c r="H35" s="17"/>
      <c r="J35" s="23" t="n">
        <v>49.99</v>
      </c>
      <c r="K35" s="24" t="n">
        <v>503</v>
      </c>
      <c r="L35" s="23" t="n">
        <v>25144.97</v>
      </c>
      <c r="N35" s="13"/>
    </row>
    <row r="36" customFormat="false" ht="12.8" hidden="false" customHeight="false" outlineLevel="0" collapsed="false">
      <c r="B36" s="20" t="s">
        <v>20</v>
      </c>
      <c r="C36" s="21" t="n">
        <v>748</v>
      </c>
      <c r="D36" s="22" t="n">
        <f aca="false">C36/C37</f>
        <v>0.748</v>
      </c>
      <c r="F36" s="17"/>
      <c r="G36" s="17"/>
      <c r="H36" s="17"/>
      <c r="J36" s="23" t="n">
        <v>29.99</v>
      </c>
      <c r="K36" s="24" t="n">
        <v>530</v>
      </c>
      <c r="L36" s="23" t="n">
        <v>15894.7</v>
      </c>
      <c r="N36" s="13"/>
    </row>
    <row r="37" customFormat="false" ht="12.8" hidden="false" customHeight="false" outlineLevel="0" collapsed="false">
      <c r="B37" s="25" t="s">
        <v>21</v>
      </c>
      <c r="C37" s="26" t="n">
        <f aca="false">C35+C36</f>
        <v>1000</v>
      </c>
      <c r="D37" s="27" t="n">
        <v>1</v>
      </c>
      <c r="F37" s="17"/>
      <c r="G37" s="17"/>
      <c r="H37" s="17"/>
      <c r="J37" s="28" t="n">
        <v>14.99</v>
      </c>
      <c r="K37" s="29" t="n">
        <v>467</v>
      </c>
      <c r="L37" s="28" t="n">
        <v>7000.33</v>
      </c>
      <c r="N37" s="13"/>
    </row>
    <row r="38" customFormat="false" ht="12.8" hidden="false" customHeight="false" outlineLevel="0" collapsed="false">
      <c r="F38" s="17"/>
      <c r="G38" s="17"/>
      <c r="H38" s="17"/>
      <c r="N38" s="13"/>
    </row>
    <row r="39" customFormat="false" ht="12.8" hidden="false" customHeight="false" outlineLevel="0" collapsed="false">
      <c r="F39" s="17"/>
      <c r="G39" s="17"/>
      <c r="H39" s="17"/>
      <c r="N39" s="13"/>
    </row>
    <row r="40" customFormat="false" ht="12.8" hidden="false" customHeight="false" outlineLevel="0" collapsed="false">
      <c r="F40" s="17"/>
      <c r="G40" s="17"/>
      <c r="H40" s="17"/>
      <c r="N40" s="13"/>
    </row>
    <row r="41" customFormat="false" ht="12.8" hidden="false" customHeight="false" outlineLevel="0" collapsed="false">
      <c r="F41" s="17"/>
      <c r="G41" s="17"/>
      <c r="H41" s="17"/>
      <c r="N41" s="13"/>
    </row>
    <row r="42" customFormat="false" ht="12.8" hidden="false" customHeight="false" outlineLevel="0" collapsed="false">
      <c r="F42" s="17"/>
      <c r="G42" s="17"/>
      <c r="H42" s="17"/>
      <c r="N42" s="13"/>
    </row>
    <row r="43" customFormat="false" ht="12.8" hidden="false" customHeight="false" outlineLevel="0" collapsed="false">
      <c r="F43" s="17"/>
      <c r="G43" s="17"/>
      <c r="H43" s="17"/>
      <c r="N43" s="13"/>
    </row>
    <row r="44" customFormat="false" ht="12.8" hidden="false" customHeight="false" outlineLevel="0" collapsed="false">
      <c r="F44" s="17"/>
      <c r="G44" s="17"/>
      <c r="H44" s="17"/>
      <c r="N44" s="13"/>
    </row>
    <row r="45" customFormat="false" ht="12.8" hidden="false" customHeight="false" outlineLevel="0" collapsed="false">
      <c r="F45" s="17"/>
      <c r="G45" s="17"/>
      <c r="H45" s="17"/>
      <c r="N45" s="13"/>
    </row>
    <row r="46" customFormat="false" ht="12.8" hidden="false" customHeight="false" outlineLevel="0" collapsed="false">
      <c r="F46" s="17"/>
      <c r="G46" s="17"/>
      <c r="H46" s="17"/>
      <c r="N46" s="13"/>
    </row>
    <row r="47" customFormat="false" ht="12.8" hidden="false" customHeight="false" outlineLevel="0" collapsed="false">
      <c r="F47" s="17"/>
      <c r="G47" s="17"/>
      <c r="H47" s="17"/>
      <c r="N47" s="13"/>
    </row>
    <row r="48" customFormat="false" ht="12.8" hidden="false" customHeight="false" outlineLevel="0" collapsed="false">
      <c r="F48" s="17"/>
      <c r="G48" s="17"/>
      <c r="H48" s="17"/>
      <c r="N48" s="13"/>
    </row>
    <row r="49" customFormat="false" ht="12.8" hidden="false" customHeight="false" outlineLevel="0" collapsed="false">
      <c r="F49" s="17"/>
      <c r="G49" s="17"/>
      <c r="H49" s="17"/>
      <c r="N49" s="13"/>
    </row>
    <row r="50" customFormat="false" ht="12.8" hidden="false" customHeight="false" outlineLevel="0" collapsed="false">
      <c r="F50" s="17"/>
      <c r="G50" s="17"/>
      <c r="H50" s="17"/>
      <c r="N50" s="13"/>
    </row>
    <row r="51" customFormat="false" ht="12.8" hidden="false" customHeight="false" outlineLevel="0" collapsed="false">
      <c r="F51" s="17"/>
      <c r="G51" s="17"/>
      <c r="H51" s="17"/>
      <c r="N51" s="13"/>
    </row>
    <row r="52" customFormat="false" ht="12.8" hidden="false" customHeight="false" outlineLevel="0" collapsed="false">
      <c r="F52" s="17"/>
      <c r="G52" s="17"/>
      <c r="H52" s="17"/>
      <c r="N52" s="13"/>
    </row>
    <row r="53" customFormat="false" ht="12.8" hidden="false" customHeight="false" outlineLevel="0" collapsed="false">
      <c r="F53" s="17"/>
      <c r="G53" s="17"/>
      <c r="H53" s="17"/>
      <c r="N53" s="13"/>
    </row>
    <row r="54" customFormat="false" ht="12.8" hidden="false" customHeight="false" outlineLevel="0" collapsed="false">
      <c r="N54" s="13"/>
    </row>
    <row r="55" customFormat="false" ht="12.8" hidden="false" customHeight="false" outlineLevel="0" collapsed="false">
      <c r="N55" s="13"/>
    </row>
    <row r="56" customFormat="false" ht="12.8" hidden="false" customHeight="false" outlineLevel="0" collapsed="false">
      <c r="A56" s="30" t="s">
        <v>22</v>
      </c>
      <c r="B56" s="30"/>
      <c r="C56" s="30"/>
      <c r="D56" s="30"/>
      <c r="E56" s="30"/>
      <c r="F56" s="30"/>
      <c r="G56" s="30"/>
      <c r="H56" s="30"/>
      <c r="I56" s="30"/>
      <c r="J56" s="30"/>
      <c r="K56" s="30"/>
      <c r="L56" s="30"/>
      <c r="M56" s="30"/>
      <c r="N56" s="30"/>
    </row>
    <row r="57" customFormat="false" ht="12.8" hidden="false" customHeight="false" outlineLevel="0" collapsed="false">
      <c r="A57" s="30"/>
      <c r="B57" s="30"/>
      <c r="C57" s="30"/>
      <c r="D57" s="30"/>
      <c r="E57" s="30"/>
      <c r="F57" s="30"/>
      <c r="G57" s="30"/>
      <c r="H57" s="30"/>
      <c r="I57" s="30"/>
      <c r="J57" s="30"/>
      <c r="K57" s="30"/>
      <c r="L57" s="30"/>
      <c r="M57" s="30"/>
      <c r="N57" s="30"/>
    </row>
    <row r="58" customFormat="false" ht="12.8" hidden="false" customHeight="false" outlineLevel="0" collapsed="false">
      <c r="A58" s="30"/>
      <c r="B58" s="30"/>
      <c r="C58" s="30"/>
      <c r="D58" s="30"/>
      <c r="E58" s="30"/>
      <c r="F58" s="30"/>
      <c r="G58" s="30"/>
      <c r="H58" s="30"/>
      <c r="I58" s="30"/>
      <c r="J58" s="30"/>
      <c r="K58" s="30"/>
      <c r="L58" s="30"/>
      <c r="M58" s="30"/>
      <c r="N58" s="30"/>
    </row>
    <row r="59" customFormat="false" ht="12.8" hidden="false" customHeight="false" outlineLevel="0" collapsed="false">
      <c r="A59" s="30"/>
      <c r="B59" s="30"/>
      <c r="C59" s="30"/>
      <c r="D59" s="30"/>
      <c r="E59" s="30"/>
      <c r="F59" s="30"/>
      <c r="G59" s="30"/>
      <c r="H59" s="30"/>
      <c r="I59" s="30"/>
      <c r="J59" s="30"/>
      <c r="K59" s="30"/>
      <c r="L59" s="30"/>
      <c r="M59" s="30"/>
      <c r="N59" s="30"/>
    </row>
    <row r="61" customFormat="false" ht="12.8" hidden="false" customHeight="false" outlineLevel="0" collapsed="false">
      <c r="G61" s="31" t="s">
        <v>23</v>
      </c>
      <c r="H61" s="31" t="s">
        <v>24</v>
      </c>
      <c r="I61" s="32" t="s">
        <v>25</v>
      </c>
    </row>
    <row r="62" customFormat="false" ht="12.8" hidden="false" customHeight="false" outlineLevel="0" collapsed="false">
      <c r="C62" s="33" t="s">
        <v>4</v>
      </c>
      <c r="D62" s="34" t="s">
        <v>26</v>
      </c>
      <c r="G62" s="35" t="s">
        <v>27</v>
      </c>
      <c r="H62" s="36" t="n">
        <v>156</v>
      </c>
      <c r="I62" s="37" t="n">
        <v>159.96</v>
      </c>
    </row>
    <row r="63" customFormat="false" ht="12.8" hidden="false" customHeight="false" outlineLevel="0" collapsed="false">
      <c r="C63" s="38" t="s">
        <v>9</v>
      </c>
      <c r="D63" s="39" t="n">
        <v>1814.52</v>
      </c>
      <c r="G63" s="35" t="s">
        <v>28</v>
      </c>
      <c r="H63" s="36" t="n">
        <v>171</v>
      </c>
      <c r="I63" s="37" t="n">
        <v>159.96</v>
      </c>
    </row>
    <row r="64" customFormat="false" ht="12.8" hidden="false" customHeight="false" outlineLevel="0" collapsed="false">
      <c r="C64" s="38" t="s">
        <v>10</v>
      </c>
      <c r="D64" s="39" t="n">
        <v>3314.05</v>
      </c>
      <c r="G64" s="35" t="s">
        <v>29</v>
      </c>
      <c r="H64" s="36" t="n">
        <v>167</v>
      </c>
      <c r="I64" s="37" t="n">
        <v>164.96</v>
      </c>
    </row>
    <row r="65" customFormat="false" ht="12.8" hidden="false" customHeight="false" outlineLevel="0" collapsed="false">
      <c r="C65" s="38" t="s">
        <v>6</v>
      </c>
      <c r="D65" s="39" t="n">
        <v>2924.2</v>
      </c>
      <c r="G65" s="35" t="s">
        <v>30</v>
      </c>
      <c r="H65" s="36" t="n">
        <v>592</v>
      </c>
      <c r="I65" s="37" t="n">
        <v>164.96</v>
      </c>
    </row>
    <row r="66" customFormat="false" ht="12.8" hidden="false" customHeight="false" outlineLevel="0" collapsed="false">
      <c r="C66" s="38" t="s">
        <v>8</v>
      </c>
      <c r="D66" s="39" t="n">
        <v>3389.08</v>
      </c>
      <c r="G66" s="35" t="s">
        <v>31</v>
      </c>
      <c r="H66" s="36" t="n">
        <v>534</v>
      </c>
      <c r="I66" s="37" t="n">
        <v>174.95</v>
      </c>
    </row>
    <row r="67" customFormat="false" ht="12.8" hidden="false" customHeight="false" outlineLevel="0" collapsed="false">
      <c r="C67" s="38" t="s">
        <v>7</v>
      </c>
      <c r="D67" s="39" t="n">
        <v>2524.31</v>
      </c>
      <c r="G67" s="35" t="s">
        <v>32</v>
      </c>
      <c r="H67" s="36" t="n">
        <v>850</v>
      </c>
      <c r="I67" s="37" t="n">
        <v>179.96</v>
      </c>
    </row>
    <row r="68" customFormat="false" ht="12.8" hidden="false" customHeight="false" outlineLevel="0" collapsed="false">
      <c r="C68" s="40" t="s">
        <v>33</v>
      </c>
      <c r="D68" s="41" t="n">
        <v>13966.16</v>
      </c>
      <c r="G68" s="35" t="s">
        <v>34</v>
      </c>
      <c r="H68" s="36" t="n">
        <v>975</v>
      </c>
      <c r="I68" s="37" t="n">
        <v>189.95</v>
      </c>
    </row>
    <row r="69" customFormat="false" ht="12.8" hidden="false" customHeight="false" outlineLevel="0" collapsed="false">
      <c r="G69" s="35" t="s">
        <v>35</v>
      </c>
      <c r="H69" s="36" t="n">
        <v>483</v>
      </c>
      <c r="I69" s="37" t="n">
        <v>219.92</v>
      </c>
    </row>
    <row r="70" customFormat="false" ht="12.8" hidden="false" customHeight="false" outlineLevel="0" collapsed="false">
      <c r="G70" s="35" t="s">
        <v>36</v>
      </c>
      <c r="H70" s="36" t="n">
        <v>313</v>
      </c>
      <c r="I70" s="37" t="n">
        <v>229.95</v>
      </c>
    </row>
    <row r="71" customFormat="false" ht="12.8" hidden="false" customHeight="false" outlineLevel="0" collapsed="false">
      <c r="G71" s="42" t="s">
        <v>37</v>
      </c>
      <c r="H71" s="43" t="n">
        <v>525</v>
      </c>
      <c r="I71" s="44" t="n">
        <v>239.93</v>
      </c>
    </row>
    <row r="75" customFormat="false" ht="12.8" hidden="false" customHeight="true" outlineLevel="0" collapsed="false">
      <c r="G75" s="45" t="s">
        <v>38</v>
      </c>
      <c r="H75" s="45"/>
      <c r="I75" s="45"/>
      <c r="J75" s="45"/>
      <c r="K75" s="45"/>
      <c r="L75" s="45"/>
      <c r="M75" s="45"/>
      <c r="N75" s="45"/>
    </row>
    <row r="76" customFormat="false" ht="12.8" hidden="false" customHeight="false" outlineLevel="0" collapsed="false">
      <c r="G76" s="45"/>
      <c r="H76" s="45"/>
      <c r="I76" s="45"/>
      <c r="J76" s="45"/>
      <c r="K76" s="45"/>
      <c r="L76" s="45"/>
      <c r="M76" s="45"/>
      <c r="N76" s="45"/>
    </row>
    <row r="77" customFormat="false" ht="12.8" hidden="false" customHeight="false" outlineLevel="0" collapsed="false">
      <c r="G77" s="45"/>
      <c r="H77" s="45"/>
      <c r="I77" s="45"/>
      <c r="J77" s="45"/>
      <c r="K77" s="45"/>
      <c r="L77" s="45"/>
      <c r="M77" s="45"/>
      <c r="N77" s="45"/>
    </row>
    <row r="78" customFormat="false" ht="12.8" hidden="false" customHeight="false" outlineLevel="0" collapsed="false">
      <c r="G78" s="45"/>
      <c r="H78" s="45"/>
      <c r="I78" s="45"/>
      <c r="J78" s="45"/>
      <c r="K78" s="45"/>
      <c r="L78" s="45"/>
      <c r="M78" s="45"/>
      <c r="N78" s="45"/>
    </row>
    <row r="79" customFormat="false" ht="12.8" hidden="false" customHeight="false" outlineLevel="0" collapsed="false">
      <c r="G79" s="45"/>
      <c r="H79" s="45"/>
      <c r="I79" s="45"/>
      <c r="J79" s="45"/>
      <c r="K79" s="45"/>
      <c r="L79" s="45"/>
      <c r="M79" s="45"/>
      <c r="N79" s="45"/>
    </row>
    <row r="80" customFormat="false" ht="12.8" hidden="false" customHeight="false" outlineLevel="0" collapsed="false">
      <c r="G80" s="45"/>
      <c r="H80" s="45"/>
      <c r="I80" s="45"/>
      <c r="J80" s="45"/>
      <c r="K80" s="45"/>
      <c r="L80" s="45"/>
      <c r="M80" s="45"/>
      <c r="N80" s="45"/>
    </row>
    <row r="81" customFormat="false" ht="12.8" hidden="false" customHeight="false" outlineLevel="0" collapsed="false">
      <c r="G81" s="45"/>
      <c r="H81" s="45"/>
      <c r="I81" s="45"/>
      <c r="J81" s="45"/>
      <c r="K81" s="45"/>
      <c r="L81" s="45"/>
      <c r="M81" s="45"/>
      <c r="N81" s="45"/>
    </row>
    <row r="82" customFormat="false" ht="12.8" hidden="false" customHeight="false" outlineLevel="0" collapsed="false">
      <c r="G82" s="45"/>
      <c r="H82" s="45"/>
      <c r="I82" s="45"/>
      <c r="J82" s="45"/>
      <c r="K82" s="45"/>
      <c r="L82" s="45"/>
      <c r="M82" s="45"/>
      <c r="N82" s="45"/>
    </row>
    <row r="83" customFormat="false" ht="12.8" hidden="false" customHeight="true" outlineLevel="0" collapsed="false">
      <c r="B83" s="46" t="s">
        <v>39</v>
      </c>
      <c r="C83" s="46"/>
      <c r="D83" s="46"/>
      <c r="E83" s="46"/>
      <c r="G83" s="45"/>
      <c r="H83" s="45"/>
      <c r="I83" s="45"/>
      <c r="J83" s="45"/>
      <c r="K83" s="45"/>
      <c r="L83" s="45"/>
      <c r="M83" s="45"/>
      <c r="N83" s="45"/>
    </row>
    <row r="84" customFormat="false" ht="12.8" hidden="false" customHeight="false" outlineLevel="0" collapsed="false">
      <c r="B84" s="46"/>
      <c r="C84" s="46"/>
      <c r="D84" s="46"/>
      <c r="E84" s="46"/>
      <c r="G84" s="45"/>
      <c r="H84" s="45"/>
      <c r="I84" s="45"/>
      <c r="J84" s="45"/>
      <c r="K84" s="45"/>
      <c r="L84" s="45"/>
      <c r="M84" s="45"/>
      <c r="N84" s="45"/>
    </row>
    <row r="85" customFormat="false" ht="12.8" hidden="false" customHeight="false" outlineLevel="0" collapsed="false">
      <c r="B85" s="46"/>
      <c r="C85" s="46"/>
      <c r="D85" s="46"/>
      <c r="E85" s="46"/>
      <c r="G85" s="45"/>
      <c r="H85" s="45"/>
      <c r="I85" s="45"/>
      <c r="J85" s="45"/>
      <c r="K85" s="45"/>
      <c r="L85" s="45"/>
      <c r="M85" s="45"/>
      <c r="N85" s="45"/>
    </row>
    <row r="90" customFormat="false" ht="12.8" hidden="false" customHeight="false" outlineLevel="0" collapsed="false">
      <c r="D90" s="47" t="s">
        <v>40</v>
      </c>
      <c r="E90" s="47"/>
      <c r="F90" s="47"/>
      <c r="G90" s="47"/>
      <c r="H90" s="47"/>
      <c r="I90" s="47"/>
      <c r="J90" s="47"/>
      <c r="K90" s="47"/>
      <c r="L90" s="47"/>
    </row>
  </sheetData>
  <mergeCells count="11">
    <mergeCell ref="A1:N3"/>
    <mergeCell ref="A4:N7"/>
    <mergeCell ref="A8:N10"/>
    <mergeCell ref="I12:N23"/>
    <mergeCell ref="A29:N30"/>
    <mergeCell ref="N31:N55"/>
    <mergeCell ref="F34:H53"/>
    <mergeCell ref="A56:N59"/>
    <mergeCell ref="G75:N85"/>
    <mergeCell ref="B83:E85"/>
    <mergeCell ref="D90:L90"/>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landscape"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6"/>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selection pane="topLeft" activeCell="C1" activeCellId="0" sqref="C1"/>
    </sheetView>
  </sheetViews>
  <sheetFormatPr defaultColWidth="11.53515625" defaultRowHeight="12.8" customHeight="false" zeroHeight="false" outlineLevelRow="0" outlineLevelCol="0"/>
  <cols>
    <col collapsed="false" customWidth="true" hidden="false" outlineLevel="0" max="1" min="1" style="0" width="14.42"/>
    <col collapsed="false" customWidth="true" hidden="false" outlineLevel="0" max="2" min="2" style="0" width="10.5"/>
    <col collapsed="false" customWidth="true" hidden="false" outlineLevel="0" max="3" min="3" style="0" width="12.6"/>
  </cols>
  <sheetData>
    <row r="1" customFormat="false" ht="12.8" hidden="false" customHeight="false" outlineLevel="0" collapsed="false">
      <c r="A1" s="48" t="s">
        <v>4</v>
      </c>
      <c r="B1" s="48" t="s">
        <v>41</v>
      </c>
      <c r="C1" s="48" t="s">
        <v>42</v>
      </c>
    </row>
    <row r="2" customFormat="false" ht="12.8" hidden="false" customHeight="false" outlineLevel="0" collapsed="false">
      <c r="A2" s="0" t="s">
        <v>6</v>
      </c>
      <c r="B2" s="0" t="n">
        <v>174</v>
      </c>
      <c r="C2" s="0" t="n">
        <v>8557.35</v>
      </c>
    </row>
    <row r="3" customFormat="false" ht="12.8" hidden="false" customHeight="false" outlineLevel="0" collapsed="false">
      <c r="A3" s="0" t="s">
        <v>7</v>
      </c>
      <c r="B3" s="0" t="n">
        <v>207</v>
      </c>
      <c r="C3" s="0" t="n">
        <v>9007.2</v>
      </c>
    </row>
    <row r="4" customFormat="false" ht="12.8" hidden="false" customHeight="false" outlineLevel="0" collapsed="false">
      <c r="A4" s="0" t="s">
        <v>8</v>
      </c>
      <c r="B4" s="0" t="n">
        <v>192</v>
      </c>
      <c r="C4" s="0" t="n">
        <v>9647.01</v>
      </c>
    </row>
    <row r="5" customFormat="false" ht="12.8" hidden="false" customHeight="false" outlineLevel="0" collapsed="false">
      <c r="A5" s="0" t="s">
        <v>9</v>
      </c>
      <c r="B5" s="0" t="n">
        <v>209</v>
      </c>
      <c r="C5" s="0" t="n">
        <v>10126.74</v>
      </c>
    </row>
    <row r="6" customFormat="false" ht="12.8" hidden="false" customHeight="false" outlineLevel="0" collapsed="false">
      <c r="A6" s="0" t="s">
        <v>10</v>
      </c>
      <c r="B6" s="0" t="n">
        <v>218</v>
      </c>
      <c r="C6" s="0" t="n">
        <v>10701.7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landscape"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3"/>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13.95"/>
    <col collapsed="false" customWidth="true" hidden="false" outlineLevel="0" max="2" min="2" style="0" width="10.5"/>
  </cols>
  <sheetData>
    <row r="1" customFormat="false" ht="12.8" hidden="false" customHeight="false" outlineLevel="0" collapsed="false">
      <c r="A1" s="48" t="s">
        <v>43</v>
      </c>
      <c r="B1" s="48" t="s">
        <v>44</v>
      </c>
    </row>
    <row r="2" customFormat="false" ht="12.8" hidden="false" customHeight="false" outlineLevel="0" collapsed="false">
      <c r="A2" s="0" t="s">
        <v>19</v>
      </c>
      <c r="B2" s="0" t="n">
        <v>252</v>
      </c>
    </row>
    <row r="3" customFormat="false" ht="12.8" hidden="false" customHeight="false" outlineLevel="0" collapsed="false">
      <c r="A3" s="0" t="s">
        <v>20</v>
      </c>
      <c r="B3" s="0" t="n">
        <v>748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landscape"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4"/>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14.9"/>
    <col collapsed="false" customWidth="true" hidden="false" outlineLevel="0" max="2" min="2" style="0" width="11.17"/>
    <col collapsed="false" customWidth="true" hidden="false" outlineLevel="0" max="3" min="3" style="0" width="12.6"/>
  </cols>
  <sheetData>
    <row r="1" customFormat="false" ht="12.8" hidden="false" customHeight="false" outlineLevel="0" collapsed="false">
      <c r="A1" s="0" t="s">
        <v>45</v>
      </c>
      <c r="B1" s="0" t="s">
        <v>46</v>
      </c>
      <c r="C1" s="0" t="s">
        <v>42</v>
      </c>
    </row>
    <row r="2" customFormat="false" ht="12.8" hidden="false" customHeight="false" outlineLevel="0" collapsed="false">
      <c r="A2" s="0" t="n">
        <v>49.99</v>
      </c>
      <c r="B2" s="0" t="n">
        <v>503</v>
      </c>
      <c r="C2" s="0" t="n">
        <v>25144.97</v>
      </c>
    </row>
    <row r="3" customFormat="false" ht="12.8" hidden="false" customHeight="false" outlineLevel="0" collapsed="false">
      <c r="A3" s="0" t="n">
        <v>29.99</v>
      </c>
      <c r="B3" s="0" t="n">
        <v>530</v>
      </c>
      <c r="C3" s="0" t="n">
        <v>15894.7</v>
      </c>
    </row>
    <row r="4" customFormat="false" ht="12.8" hidden="false" customHeight="false" outlineLevel="0" collapsed="false">
      <c r="A4" s="0" t="n">
        <v>14.99</v>
      </c>
      <c r="B4" s="0" t="n">
        <v>467</v>
      </c>
      <c r="C4" s="0" t="n">
        <v>7000.33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landscape"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05"/>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7.45"/>
    <col collapsed="false" customWidth="true" hidden="false" outlineLevel="0" max="2" min="2" style="0" width="17.2"/>
    <col collapsed="false" customWidth="true" hidden="false" outlineLevel="0" max="3" min="3" style="0" width="14.42"/>
    <col collapsed="false" customWidth="true" hidden="false" outlineLevel="0" max="4" min="4" style="0" width="10.5"/>
  </cols>
  <sheetData>
    <row r="1" customFormat="false" ht="12.8" hidden="false" customHeight="false" outlineLevel="0" collapsed="false">
      <c r="A1" s="48" t="s">
        <v>47</v>
      </c>
      <c r="B1" s="48" t="s">
        <v>48</v>
      </c>
      <c r="C1" s="48" t="s">
        <v>4</v>
      </c>
      <c r="D1" s="48" t="s">
        <v>25</v>
      </c>
    </row>
    <row r="2" customFormat="false" ht="12.8" hidden="false" customHeight="false" outlineLevel="0" collapsed="false">
      <c r="A2" s="0" t="n">
        <v>931</v>
      </c>
      <c r="B2" s="0" t="s">
        <v>49</v>
      </c>
      <c r="C2" s="0" t="s">
        <v>8</v>
      </c>
      <c r="D2" s="0" t="n">
        <v>249.95</v>
      </c>
    </row>
    <row r="3" customFormat="false" ht="12.8" hidden="false" customHeight="false" outlineLevel="0" collapsed="false">
      <c r="A3" s="0" t="n">
        <v>525</v>
      </c>
      <c r="B3" s="0" t="s">
        <v>37</v>
      </c>
      <c r="C3" s="0" t="s">
        <v>6</v>
      </c>
      <c r="D3" s="0" t="n">
        <v>239.93</v>
      </c>
    </row>
    <row r="4" customFormat="false" ht="12.8" hidden="false" customHeight="false" outlineLevel="0" collapsed="false">
      <c r="A4" s="0" t="n">
        <v>313</v>
      </c>
      <c r="B4" s="0" t="s">
        <v>36</v>
      </c>
      <c r="C4" s="0" t="s">
        <v>9</v>
      </c>
      <c r="D4" s="0" t="n">
        <v>229.95</v>
      </c>
    </row>
    <row r="5" customFormat="false" ht="12.8" hidden="false" customHeight="false" outlineLevel="0" collapsed="false">
      <c r="A5" s="0" t="n">
        <v>483</v>
      </c>
      <c r="B5" s="0" t="s">
        <v>35</v>
      </c>
      <c r="C5" s="0" t="s">
        <v>10</v>
      </c>
      <c r="D5" s="0" t="n">
        <v>219.92</v>
      </c>
    </row>
    <row r="6" customFormat="false" ht="12.8" hidden="false" customHeight="false" outlineLevel="0" collapsed="false">
      <c r="A6" s="0" t="n">
        <v>975</v>
      </c>
      <c r="B6" s="0" t="s">
        <v>34</v>
      </c>
      <c r="C6" s="0" t="s">
        <v>9</v>
      </c>
      <c r="D6" s="0" t="n">
        <v>189.95</v>
      </c>
    </row>
    <row r="7" customFormat="false" ht="12.8" hidden="false" customHeight="false" outlineLevel="0" collapsed="false">
      <c r="A7" s="0" t="n">
        <v>850</v>
      </c>
      <c r="B7" s="0" t="s">
        <v>32</v>
      </c>
      <c r="C7" s="0" t="s">
        <v>10</v>
      </c>
      <c r="D7" s="0" t="n">
        <v>179.96</v>
      </c>
    </row>
    <row r="8" customFormat="false" ht="12.8" hidden="false" customHeight="false" outlineLevel="0" collapsed="false">
      <c r="A8" s="0" t="n">
        <v>534</v>
      </c>
      <c r="B8" s="0" t="s">
        <v>31</v>
      </c>
      <c r="C8" s="0" t="s">
        <v>7</v>
      </c>
      <c r="D8" s="0" t="n">
        <v>174.95</v>
      </c>
    </row>
    <row r="9" customFormat="false" ht="12.8" hidden="false" customHeight="false" outlineLevel="0" collapsed="false">
      <c r="A9" s="0" t="n">
        <v>592</v>
      </c>
      <c r="B9" s="0" t="s">
        <v>30</v>
      </c>
      <c r="C9" s="0" t="s">
        <v>10</v>
      </c>
      <c r="D9" s="0" t="n">
        <v>164.96</v>
      </c>
    </row>
    <row r="10" customFormat="false" ht="12.8" hidden="false" customHeight="false" outlineLevel="0" collapsed="false">
      <c r="A10" s="0" t="n">
        <v>167</v>
      </c>
      <c r="B10" s="0" t="s">
        <v>29</v>
      </c>
      <c r="C10" s="0" t="s">
        <v>8</v>
      </c>
      <c r="D10" s="0" t="n">
        <v>164.96</v>
      </c>
    </row>
    <row r="11" customFormat="false" ht="12.8" hidden="false" customHeight="false" outlineLevel="0" collapsed="false">
      <c r="A11" s="0" t="n">
        <v>817</v>
      </c>
      <c r="B11" s="0" t="s">
        <v>50</v>
      </c>
      <c r="C11" s="0" t="s">
        <v>7</v>
      </c>
      <c r="D11" s="0" t="n">
        <v>159.96</v>
      </c>
    </row>
    <row r="12" customFormat="false" ht="12.8" hidden="false" customHeight="false" outlineLevel="0" collapsed="false">
      <c r="A12" s="0" t="n">
        <v>681</v>
      </c>
      <c r="B12" s="0" t="s">
        <v>49</v>
      </c>
      <c r="C12" s="0" t="s">
        <v>7</v>
      </c>
      <c r="D12" s="0" t="n">
        <v>159.96</v>
      </c>
    </row>
    <row r="13" customFormat="false" ht="12.8" hidden="false" customHeight="false" outlineLevel="0" collapsed="false">
      <c r="A13" s="0" t="n">
        <v>400</v>
      </c>
      <c r="B13" s="0" t="s">
        <v>51</v>
      </c>
      <c r="C13" s="0" t="s">
        <v>6</v>
      </c>
      <c r="D13" s="0" t="n">
        <v>159.96</v>
      </c>
    </row>
    <row r="14" customFormat="false" ht="12.8" hidden="false" customHeight="false" outlineLevel="0" collapsed="false">
      <c r="A14" s="0" t="n">
        <v>544</v>
      </c>
      <c r="B14" s="0" t="s">
        <v>52</v>
      </c>
      <c r="C14" s="0" t="s">
        <v>8</v>
      </c>
      <c r="D14" s="0" t="n">
        <v>159.96</v>
      </c>
    </row>
    <row r="15" customFormat="false" ht="12.8" hidden="false" customHeight="false" outlineLevel="0" collapsed="false">
      <c r="A15" s="0" t="n">
        <v>171</v>
      </c>
      <c r="B15" s="0" t="s">
        <v>28</v>
      </c>
      <c r="C15" s="0" t="s">
        <v>9</v>
      </c>
      <c r="D15" s="0" t="n">
        <v>159.96</v>
      </c>
    </row>
    <row r="16" customFormat="false" ht="12.8" hidden="false" customHeight="false" outlineLevel="0" collapsed="false">
      <c r="A16" s="0" t="n">
        <v>150</v>
      </c>
      <c r="B16" s="0" t="s">
        <v>53</v>
      </c>
      <c r="C16" s="0" t="s">
        <v>8</v>
      </c>
      <c r="D16" s="0" t="n">
        <v>159.96</v>
      </c>
    </row>
    <row r="17" customFormat="false" ht="12.8" hidden="false" customHeight="false" outlineLevel="0" collapsed="false">
      <c r="A17" s="0" t="n">
        <v>173</v>
      </c>
      <c r="B17" s="0" t="s">
        <v>54</v>
      </c>
      <c r="C17" s="0" t="s">
        <v>10</v>
      </c>
      <c r="D17" s="0" t="n">
        <v>159.96</v>
      </c>
    </row>
    <row r="18" customFormat="false" ht="12.8" hidden="false" customHeight="false" outlineLevel="0" collapsed="false">
      <c r="A18" s="0" t="n">
        <v>301</v>
      </c>
      <c r="B18" s="0" t="s">
        <v>55</v>
      </c>
      <c r="C18" s="0" t="s">
        <v>9</v>
      </c>
      <c r="D18" s="0" t="n">
        <v>159.96</v>
      </c>
    </row>
    <row r="19" customFormat="false" ht="12.8" hidden="false" customHeight="false" outlineLevel="0" collapsed="false">
      <c r="A19" s="0" t="n">
        <v>156</v>
      </c>
      <c r="B19" s="0" t="s">
        <v>27</v>
      </c>
      <c r="C19" s="0" t="s">
        <v>8</v>
      </c>
      <c r="D19" s="0" t="n">
        <v>159.96</v>
      </c>
    </row>
    <row r="20" customFormat="false" ht="12.8" hidden="false" customHeight="false" outlineLevel="0" collapsed="false">
      <c r="A20" s="0" t="n">
        <v>912</v>
      </c>
      <c r="B20" s="0" t="s">
        <v>56</v>
      </c>
      <c r="C20" s="0" t="s">
        <v>10</v>
      </c>
      <c r="D20" s="0" t="n">
        <v>159.96</v>
      </c>
    </row>
    <row r="21" customFormat="false" ht="12.8" hidden="false" customHeight="false" outlineLevel="0" collapsed="false">
      <c r="A21" s="0" t="n">
        <v>253</v>
      </c>
      <c r="B21" s="0" t="s">
        <v>57</v>
      </c>
      <c r="C21" s="0" t="s">
        <v>8</v>
      </c>
      <c r="D21" s="0" t="n">
        <v>159.96</v>
      </c>
    </row>
    <row r="22" customFormat="false" ht="12.8" hidden="false" customHeight="false" outlineLevel="0" collapsed="false">
      <c r="A22" s="0" t="n">
        <v>778</v>
      </c>
      <c r="B22" s="0" t="s">
        <v>58</v>
      </c>
      <c r="C22" s="0" t="s">
        <v>10</v>
      </c>
      <c r="D22" s="0" t="n">
        <v>159.95</v>
      </c>
    </row>
    <row r="23" customFormat="false" ht="12.8" hidden="false" customHeight="false" outlineLevel="0" collapsed="false">
      <c r="A23" s="0" t="n">
        <v>539</v>
      </c>
      <c r="B23" s="0" t="s">
        <v>59</v>
      </c>
      <c r="C23" s="0" t="s">
        <v>6</v>
      </c>
      <c r="D23" s="0" t="n">
        <v>159.95</v>
      </c>
    </row>
    <row r="24" customFormat="false" ht="12.8" hidden="false" customHeight="false" outlineLevel="0" collapsed="false">
      <c r="A24" s="0" t="n">
        <v>382</v>
      </c>
      <c r="B24" s="0" t="s">
        <v>60</v>
      </c>
      <c r="C24" s="0" t="s">
        <v>8</v>
      </c>
      <c r="D24" s="0" t="n">
        <v>159.95</v>
      </c>
    </row>
    <row r="25" customFormat="false" ht="12.8" hidden="false" customHeight="false" outlineLevel="0" collapsed="false">
      <c r="A25" s="0" t="n">
        <v>500</v>
      </c>
      <c r="B25" s="0" t="s">
        <v>61</v>
      </c>
      <c r="C25" s="0" t="s">
        <v>6</v>
      </c>
      <c r="D25" s="0" t="n">
        <v>149.97</v>
      </c>
    </row>
    <row r="26" customFormat="false" ht="12.8" hidden="false" customHeight="false" outlineLevel="0" collapsed="false">
      <c r="A26" s="0" t="n">
        <v>239</v>
      </c>
      <c r="B26" s="0" t="s">
        <v>62</v>
      </c>
      <c r="C26" s="0" t="s">
        <v>6</v>
      </c>
      <c r="D26" s="0" t="n">
        <v>149.97</v>
      </c>
    </row>
    <row r="27" customFormat="false" ht="12.8" hidden="false" customHeight="false" outlineLevel="0" collapsed="false">
      <c r="A27" s="0" t="n">
        <v>277</v>
      </c>
      <c r="B27" s="0" t="s">
        <v>63</v>
      </c>
      <c r="C27" s="0" t="s">
        <v>10</v>
      </c>
      <c r="D27" s="0" t="n">
        <v>149.97</v>
      </c>
    </row>
    <row r="28" customFormat="false" ht="12.8" hidden="false" customHeight="false" outlineLevel="0" collapsed="false">
      <c r="A28" s="0" t="n">
        <v>384</v>
      </c>
      <c r="B28" s="0" t="s">
        <v>64</v>
      </c>
      <c r="C28" s="0" t="s">
        <v>7</v>
      </c>
      <c r="D28" s="0" t="n">
        <v>149.97</v>
      </c>
    </row>
    <row r="29" customFormat="false" ht="12.8" hidden="false" customHeight="false" outlineLevel="0" collapsed="false">
      <c r="A29" s="0" t="n">
        <v>198</v>
      </c>
      <c r="B29" s="0" t="s">
        <v>65</v>
      </c>
      <c r="C29" s="0" t="s">
        <v>9</v>
      </c>
      <c r="D29" s="0" t="n">
        <v>149.97</v>
      </c>
    </row>
    <row r="30" customFormat="false" ht="12.8" hidden="false" customHeight="false" outlineLevel="0" collapsed="false">
      <c r="A30" s="0" t="n">
        <v>552</v>
      </c>
      <c r="B30" s="0" t="s">
        <v>66</v>
      </c>
      <c r="C30" s="0" t="s">
        <v>6</v>
      </c>
      <c r="D30" s="0" t="n">
        <v>144.96</v>
      </c>
    </row>
    <row r="31" customFormat="false" ht="12.8" hidden="false" customHeight="false" outlineLevel="0" collapsed="false">
      <c r="A31" s="0" t="n">
        <v>769</v>
      </c>
      <c r="B31" s="0" t="s">
        <v>67</v>
      </c>
      <c r="C31" s="0" t="s">
        <v>10</v>
      </c>
      <c r="D31" s="0" t="n">
        <v>144.96</v>
      </c>
    </row>
    <row r="32" customFormat="false" ht="12.8" hidden="false" customHeight="false" outlineLevel="0" collapsed="false">
      <c r="A32" s="0" t="n">
        <v>936</v>
      </c>
      <c r="B32" s="0" t="s">
        <v>29</v>
      </c>
      <c r="C32" s="0" t="s">
        <v>7</v>
      </c>
      <c r="D32" s="0" t="n">
        <v>144.96</v>
      </c>
    </row>
    <row r="33" customFormat="false" ht="12.8" hidden="false" customHeight="false" outlineLevel="0" collapsed="false">
      <c r="A33" s="0" t="n">
        <v>287</v>
      </c>
      <c r="B33" s="0" t="s">
        <v>68</v>
      </c>
      <c r="C33" s="0" t="s">
        <v>6</v>
      </c>
      <c r="D33" s="0" t="n">
        <v>144.96</v>
      </c>
    </row>
    <row r="34" customFormat="false" ht="12.8" hidden="false" customHeight="false" outlineLevel="0" collapsed="false">
      <c r="A34" s="0" t="n">
        <v>792</v>
      </c>
      <c r="B34" s="0" t="s">
        <v>69</v>
      </c>
      <c r="C34" s="0" t="s">
        <v>10</v>
      </c>
      <c r="D34" s="0" t="n">
        <v>144.96</v>
      </c>
    </row>
    <row r="35" customFormat="false" ht="12.8" hidden="false" customHeight="false" outlineLevel="0" collapsed="false">
      <c r="A35" s="0" t="n">
        <v>786</v>
      </c>
      <c r="B35" s="0" t="s">
        <v>70</v>
      </c>
      <c r="C35" s="0" t="s">
        <v>10</v>
      </c>
      <c r="D35" s="0" t="n">
        <v>139.96</v>
      </c>
    </row>
    <row r="36" customFormat="false" ht="12.8" hidden="false" customHeight="false" outlineLevel="0" collapsed="false">
      <c r="A36" s="0" t="n">
        <v>494</v>
      </c>
      <c r="B36" s="0" t="s">
        <v>71</v>
      </c>
      <c r="C36" s="0" t="s">
        <v>8</v>
      </c>
      <c r="D36" s="0" t="n">
        <v>139.96</v>
      </c>
    </row>
    <row r="37" customFormat="false" ht="12.8" hidden="false" customHeight="false" outlineLevel="0" collapsed="false">
      <c r="A37" s="0" t="n">
        <v>10</v>
      </c>
      <c r="B37" s="0" t="s">
        <v>72</v>
      </c>
      <c r="C37" s="0" t="s">
        <v>8</v>
      </c>
      <c r="D37" s="0" t="n">
        <v>139.96</v>
      </c>
    </row>
    <row r="38" customFormat="false" ht="12.8" hidden="false" customHeight="false" outlineLevel="0" collapsed="false">
      <c r="A38" s="0" t="n">
        <v>219</v>
      </c>
      <c r="B38" s="0" t="s">
        <v>73</v>
      </c>
      <c r="C38" s="0" t="s">
        <v>8</v>
      </c>
      <c r="D38" s="0" t="n">
        <v>139.95</v>
      </c>
    </row>
    <row r="39" customFormat="false" ht="12.8" hidden="false" customHeight="false" outlineLevel="0" collapsed="false">
      <c r="A39" s="0" t="n">
        <v>599</v>
      </c>
      <c r="B39" s="0" t="s">
        <v>74</v>
      </c>
      <c r="C39" s="0" t="s">
        <v>10</v>
      </c>
      <c r="D39" s="0" t="n">
        <v>139.95</v>
      </c>
    </row>
    <row r="40" customFormat="false" ht="12.8" hidden="false" customHeight="false" outlineLevel="0" collapsed="false">
      <c r="A40" s="0" t="n">
        <v>636</v>
      </c>
      <c r="B40" s="0" t="s">
        <v>75</v>
      </c>
      <c r="C40" s="0" t="s">
        <v>6</v>
      </c>
      <c r="D40" s="0" t="n">
        <v>139.95</v>
      </c>
    </row>
    <row r="41" customFormat="false" ht="12.8" hidden="false" customHeight="false" outlineLevel="0" collapsed="false">
      <c r="A41" s="0" t="n">
        <v>954</v>
      </c>
      <c r="B41" s="0" t="s">
        <v>34</v>
      </c>
      <c r="C41" s="0" t="s">
        <v>9</v>
      </c>
      <c r="D41" s="0" t="n">
        <v>129.97</v>
      </c>
    </row>
    <row r="42" customFormat="false" ht="12.8" hidden="false" customHeight="false" outlineLevel="0" collapsed="false">
      <c r="A42" s="0" t="n">
        <v>452</v>
      </c>
      <c r="B42" s="0" t="s">
        <v>76</v>
      </c>
      <c r="C42" s="0" t="s">
        <v>10</v>
      </c>
      <c r="D42" s="0" t="n">
        <v>129.97</v>
      </c>
    </row>
    <row r="43" customFormat="false" ht="12.8" hidden="false" customHeight="false" outlineLevel="0" collapsed="false">
      <c r="A43" s="0" t="n">
        <v>886</v>
      </c>
      <c r="B43" s="0" t="s">
        <v>77</v>
      </c>
      <c r="C43" s="0" t="s">
        <v>8</v>
      </c>
      <c r="D43" s="0" t="n">
        <v>129.97</v>
      </c>
    </row>
    <row r="44" customFormat="false" ht="12.8" hidden="false" customHeight="false" outlineLevel="0" collapsed="false">
      <c r="A44" s="0" t="n">
        <v>919</v>
      </c>
      <c r="B44" s="0" t="s">
        <v>78</v>
      </c>
      <c r="C44" s="0" t="s">
        <v>8</v>
      </c>
      <c r="D44" s="0" t="n">
        <v>129.97</v>
      </c>
    </row>
    <row r="45" customFormat="false" ht="12.8" hidden="false" customHeight="false" outlineLevel="0" collapsed="false">
      <c r="A45" s="0" t="n">
        <v>918</v>
      </c>
      <c r="B45" s="0" t="s">
        <v>79</v>
      </c>
      <c r="C45" s="0" t="s">
        <v>7</v>
      </c>
      <c r="D45" s="0" t="n">
        <v>129.97</v>
      </c>
    </row>
    <row r="46" customFormat="false" ht="12.8" hidden="false" customHeight="false" outlineLevel="0" collapsed="false">
      <c r="A46" s="0" t="n">
        <v>221</v>
      </c>
      <c r="B46" s="0" t="s">
        <v>80</v>
      </c>
      <c r="C46" s="0" t="s">
        <v>8</v>
      </c>
      <c r="D46" s="0" t="n">
        <v>129.97</v>
      </c>
    </row>
    <row r="47" customFormat="false" ht="12.8" hidden="false" customHeight="false" outlineLevel="0" collapsed="false">
      <c r="A47" s="0" t="n">
        <v>761</v>
      </c>
      <c r="B47" s="0" t="s">
        <v>81</v>
      </c>
      <c r="C47" s="0" t="s">
        <v>8</v>
      </c>
      <c r="D47" s="0" t="n">
        <v>129.97</v>
      </c>
    </row>
    <row r="48" customFormat="false" ht="12.8" hidden="false" customHeight="false" outlineLevel="0" collapsed="false">
      <c r="A48" s="0" t="n">
        <v>409</v>
      </c>
      <c r="B48" s="0" t="s">
        <v>82</v>
      </c>
      <c r="C48" s="0" t="s">
        <v>6</v>
      </c>
      <c r="D48" s="0" t="n">
        <v>129.97</v>
      </c>
    </row>
    <row r="49" customFormat="false" ht="12.8" hidden="false" customHeight="false" outlineLevel="0" collapsed="false">
      <c r="A49" s="0" t="n">
        <v>215</v>
      </c>
      <c r="B49" s="0" t="s">
        <v>83</v>
      </c>
      <c r="C49" s="0" t="s">
        <v>6</v>
      </c>
      <c r="D49" s="0" t="n">
        <v>129.97</v>
      </c>
    </row>
    <row r="50" customFormat="false" ht="12.8" hidden="false" customHeight="false" outlineLevel="0" collapsed="false">
      <c r="A50" s="0" t="n">
        <v>555</v>
      </c>
      <c r="B50" s="0" t="s">
        <v>84</v>
      </c>
      <c r="C50" s="0" t="s">
        <v>7</v>
      </c>
      <c r="D50" s="0" t="n">
        <v>129.97</v>
      </c>
    </row>
    <row r="51" customFormat="false" ht="12.8" hidden="false" customHeight="false" outlineLevel="0" collapsed="false">
      <c r="A51" s="0" t="n">
        <v>87</v>
      </c>
      <c r="B51" s="0" t="s">
        <v>85</v>
      </c>
      <c r="C51" s="0" t="s">
        <v>7</v>
      </c>
      <c r="D51" s="0" t="n">
        <v>129.97</v>
      </c>
    </row>
    <row r="52" customFormat="false" ht="12.8" hidden="false" customHeight="false" outlineLevel="0" collapsed="false">
      <c r="A52" s="0" t="n">
        <v>203</v>
      </c>
      <c r="B52" s="0" t="s">
        <v>86</v>
      </c>
      <c r="C52" s="0" t="s">
        <v>6</v>
      </c>
      <c r="D52" s="0" t="n">
        <v>129.97</v>
      </c>
    </row>
    <row r="53" customFormat="false" ht="12.8" hidden="false" customHeight="false" outlineLevel="0" collapsed="false">
      <c r="A53" s="0" t="n">
        <v>96</v>
      </c>
      <c r="B53" s="0" t="s">
        <v>87</v>
      </c>
      <c r="C53" s="0" t="s">
        <v>10</v>
      </c>
      <c r="D53" s="0" t="n">
        <v>129.97</v>
      </c>
    </row>
    <row r="54" customFormat="false" ht="12.8" hidden="false" customHeight="false" outlineLevel="0" collapsed="false">
      <c r="A54" s="0" t="n">
        <v>880</v>
      </c>
      <c r="B54" s="0" t="s">
        <v>67</v>
      </c>
      <c r="C54" s="0" t="s">
        <v>6</v>
      </c>
      <c r="D54" s="0" t="n">
        <v>129.97</v>
      </c>
    </row>
    <row r="55" customFormat="false" ht="12.8" hidden="false" customHeight="false" outlineLevel="0" collapsed="false">
      <c r="A55" s="0" t="n">
        <v>791</v>
      </c>
      <c r="B55" s="0" t="s">
        <v>88</v>
      </c>
      <c r="C55" s="0" t="s">
        <v>10</v>
      </c>
      <c r="D55" s="0" t="n">
        <v>124.96</v>
      </c>
    </row>
    <row r="56" customFormat="false" ht="12.8" hidden="false" customHeight="false" outlineLevel="0" collapsed="false">
      <c r="A56" s="0" t="n">
        <v>767</v>
      </c>
      <c r="B56" s="0" t="s">
        <v>89</v>
      </c>
      <c r="C56" s="0" t="s">
        <v>8</v>
      </c>
      <c r="D56" s="0" t="n">
        <v>124.96</v>
      </c>
    </row>
    <row r="57" customFormat="false" ht="12.8" hidden="false" customHeight="false" outlineLevel="0" collapsed="false">
      <c r="A57" s="0" t="n">
        <v>429</v>
      </c>
      <c r="B57" s="0" t="s">
        <v>90</v>
      </c>
      <c r="C57" s="0" t="s">
        <v>9</v>
      </c>
      <c r="D57" s="0" t="n">
        <v>124.96</v>
      </c>
    </row>
    <row r="58" customFormat="false" ht="12.8" hidden="false" customHeight="false" outlineLevel="0" collapsed="false">
      <c r="A58" s="0" t="n">
        <v>305</v>
      </c>
      <c r="B58" s="0" t="s">
        <v>91</v>
      </c>
      <c r="C58" s="0" t="s">
        <v>10</v>
      </c>
      <c r="D58" s="0" t="n">
        <v>124.96</v>
      </c>
    </row>
    <row r="59" customFormat="false" ht="12.8" hidden="false" customHeight="false" outlineLevel="0" collapsed="false">
      <c r="A59" s="0" t="n">
        <v>196</v>
      </c>
      <c r="B59" s="0" t="s">
        <v>92</v>
      </c>
      <c r="C59" s="0" t="s">
        <v>10</v>
      </c>
      <c r="D59" s="0" t="n">
        <v>124.96</v>
      </c>
    </row>
    <row r="60" customFormat="false" ht="12.8" hidden="false" customHeight="false" outlineLevel="0" collapsed="false">
      <c r="A60" s="0" t="n">
        <v>519</v>
      </c>
      <c r="B60" s="0" t="s">
        <v>93</v>
      </c>
      <c r="C60" s="0" t="s">
        <v>10</v>
      </c>
      <c r="D60" s="0" t="n">
        <v>124.95</v>
      </c>
    </row>
    <row r="61" customFormat="false" ht="12.8" hidden="false" customHeight="false" outlineLevel="0" collapsed="false">
      <c r="A61" s="0" t="n">
        <v>979</v>
      </c>
      <c r="B61" s="0" t="s">
        <v>94</v>
      </c>
      <c r="C61" s="0" t="s">
        <v>6</v>
      </c>
      <c r="D61" s="0" t="n">
        <v>119.96</v>
      </c>
    </row>
    <row r="62" customFormat="false" ht="12.8" hidden="false" customHeight="false" outlineLevel="0" collapsed="false">
      <c r="A62" s="0" t="n">
        <v>507</v>
      </c>
      <c r="B62" s="0" t="s">
        <v>95</v>
      </c>
      <c r="C62" s="0" t="s">
        <v>10</v>
      </c>
      <c r="D62" s="0" t="n">
        <v>119.96</v>
      </c>
    </row>
    <row r="63" customFormat="false" ht="12.8" hidden="false" customHeight="false" outlineLevel="0" collapsed="false">
      <c r="A63" s="0" t="n">
        <v>330</v>
      </c>
      <c r="B63" s="0" t="s">
        <v>96</v>
      </c>
      <c r="C63" s="0" t="s">
        <v>9</v>
      </c>
      <c r="D63" s="0" t="n">
        <v>119.96</v>
      </c>
    </row>
    <row r="64" customFormat="false" ht="12.8" hidden="false" customHeight="false" outlineLevel="0" collapsed="false">
      <c r="A64" s="0" t="n">
        <v>964</v>
      </c>
      <c r="B64" s="0" t="s">
        <v>58</v>
      </c>
      <c r="C64" s="0" t="s">
        <v>7</v>
      </c>
      <c r="D64" s="0" t="n">
        <v>119.96</v>
      </c>
    </row>
    <row r="65" customFormat="false" ht="12.8" hidden="false" customHeight="false" outlineLevel="0" collapsed="false">
      <c r="A65" s="0" t="n">
        <v>379</v>
      </c>
      <c r="B65" s="0" t="s">
        <v>97</v>
      </c>
      <c r="C65" s="0" t="s">
        <v>8</v>
      </c>
      <c r="D65" s="0" t="n">
        <v>114.97</v>
      </c>
    </row>
    <row r="66" customFormat="false" ht="12.8" hidden="false" customHeight="false" outlineLevel="0" collapsed="false">
      <c r="A66" s="0" t="n">
        <v>677</v>
      </c>
      <c r="B66" s="0" t="s">
        <v>98</v>
      </c>
      <c r="C66" s="0" t="s">
        <v>6</v>
      </c>
      <c r="D66" s="0" t="n">
        <v>114.97</v>
      </c>
    </row>
    <row r="67" customFormat="false" ht="12.8" hidden="false" customHeight="false" outlineLevel="0" collapsed="false">
      <c r="A67" s="0" t="n">
        <v>717</v>
      </c>
      <c r="B67" s="0" t="s">
        <v>99</v>
      </c>
      <c r="C67" s="0" t="s">
        <v>10</v>
      </c>
      <c r="D67" s="0" t="n">
        <v>114.97</v>
      </c>
    </row>
    <row r="68" customFormat="false" ht="12.8" hidden="false" customHeight="false" outlineLevel="0" collapsed="false">
      <c r="A68" s="0" t="n">
        <v>950</v>
      </c>
      <c r="B68" s="0" t="s">
        <v>100</v>
      </c>
      <c r="C68" s="0" t="s">
        <v>7</v>
      </c>
      <c r="D68" s="0" t="n">
        <v>114.97</v>
      </c>
    </row>
    <row r="69" customFormat="false" ht="12.8" hidden="false" customHeight="false" outlineLevel="0" collapsed="false">
      <c r="A69" s="0" t="n">
        <v>951</v>
      </c>
      <c r="B69" s="0" t="s">
        <v>101</v>
      </c>
      <c r="C69" s="0" t="s">
        <v>7</v>
      </c>
      <c r="D69" s="0" t="n">
        <v>114.97</v>
      </c>
    </row>
    <row r="70" customFormat="false" ht="12.8" hidden="false" customHeight="false" outlineLevel="0" collapsed="false">
      <c r="A70" s="0" t="n">
        <v>948</v>
      </c>
      <c r="B70" s="0" t="s">
        <v>102</v>
      </c>
      <c r="C70" s="0" t="s">
        <v>9</v>
      </c>
      <c r="D70" s="0" t="n">
        <v>114.97</v>
      </c>
    </row>
    <row r="71" customFormat="false" ht="12.8" hidden="false" customHeight="false" outlineLevel="0" collapsed="false">
      <c r="A71" s="0" t="n">
        <v>753</v>
      </c>
      <c r="B71" s="0" t="s">
        <v>103</v>
      </c>
      <c r="C71" s="0" t="s">
        <v>7</v>
      </c>
      <c r="D71" s="0" t="n">
        <v>114.97</v>
      </c>
    </row>
    <row r="72" customFormat="false" ht="12.8" hidden="false" customHeight="false" outlineLevel="0" collapsed="false">
      <c r="A72" s="0" t="n">
        <v>937</v>
      </c>
      <c r="B72" s="0" t="s">
        <v>104</v>
      </c>
      <c r="C72" s="0" t="s">
        <v>10</v>
      </c>
      <c r="D72" s="0" t="n">
        <v>114.97</v>
      </c>
    </row>
    <row r="73" customFormat="false" ht="12.8" hidden="false" customHeight="false" outlineLevel="0" collapsed="false">
      <c r="A73" s="0" t="n">
        <v>629</v>
      </c>
      <c r="B73" s="0" t="s">
        <v>105</v>
      </c>
      <c r="C73" s="0" t="s">
        <v>7</v>
      </c>
      <c r="D73" s="0" t="n">
        <v>114.97</v>
      </c>
    </row>
    <row r="74" customFormat="false" ht="12.8" hidden="false" customHeight="false" outlineLevel="0" collapsed="false">
      <c r="A74" s="0" t="n">
        <v>759</v>
      </c>
      <c r="B74" s="0" t="s">
        <v>106</v>
      </c>
      <c r="C74" s="0" t="s">
        <v>8</v>
      </c>
      <c r="D74" s="0" t="n">
        <v>114.97</v>
      </c>
    </row>
    <row r="75" customFormat="false" ht="12.8" hidden="false" customHeight="false" outlineLevel="0" collapsed="false">
      <c r="A75" s="0" t="n">
        <v>909</v>
      </c>
      <c r="B75" s="0" t="s">
        <v>107</v>
      </c>
      <c r="C75" s="0" t="s">
        <v>8</v>
      </c>
      <c r="D75" s="0" t="n">
        <v>114.97</v>
      </c>
    </row>
    <row r="76" customFormat="false" ht="12.8" hidden="false" customHeight="false" outlineLevel="0" collapsed="false">
      <c r="A76" s="0" t="n">
        <v>915</v>
      </c>
      <c r="B76" s="0" t="s">
        <v>108</v>
      </c>
      <c r="C76" s="0" t="s">
        <v>6</v>
      </c>
      <c r="D76" s="0" t="n">
        <v>114.97</v>
      </c>
    </row>
    <row r="77" customFormat="false" ht="12.8" hidden="false" customHeight="false" outlineLevel="0" collapsed="false">
      <c r="A77" s="0" t="n">
        <v>742</v>
      </c>
      <c r="B77" s="0" t="s">
        <v>109</v>
      </c>
      <c r="C77" s="0" t="s">
        <v>8</v>
      </c>
      <c r="D77" s="0" t="n">
        <v>109.97</v>
      </c>
    </row>
    <row r="78" customFormat="false" ht="12.8" hidden="false" customHeight="false" outlineLevel="0" collapsed="false">
      <c r="A78" s="0" t="n">
        <v>248</v>
      </c>
      <c r="B78" s="0" t="s">
        <v>110</v>
      </c>
      <c r="C78" s="0" t="s">
        <v>7</v>
      </c>
      <c r="D78" s="0" t="n">
        <v>109.97</v>
      </c>
    </row>
    <row r="79" customFormat="false" ht="12.8" hidden="false" customHeight="false" outlineLevel="0" collapsed="false">
      <c r="A79" s="0" t="n">
        <v>157</v>
      </c>
      <c r="B79" s="0" t="s">
        <v>111</v>
      </c>
      <c r="C79" s="0" t="s">
        <v>10</v>
      </c>
      <c r="D79" s="0" t="n">
        <v>109.97</v>
      </c>
    </row>
    <row r="80" customFormat="false" ht="12.8" hidden="false" customHeight="false" outlineLevel="0" collapsed="false">
      <c r="A80" s="0" t="n">
        <v>584</v>
      </c>
      <c r="B80" s="0" t="s">
        <v>112</v>
      </c>
      <c r="C80" s="0" t="s">
        <v>8</v>
      </c>
      <c r="D80" s="0" t="n">
        <v>109.97</v>
      </c>
    </row>
    <row r="81" customFormat="false" ht="12.8" hidden="false" customHeight="false" outlineLevel="0" collapsed="false">
      <c r="A81" s="0" t="n">
        <v>119</v>
      </c>
      <c r="B81" s="0" t="s">
        <v>65</v>
      </c>
      <c r="C81" s="0" t="s">
        <v>9</v>
      </c>
      <c r="D81" s="0" t="n">
        <v>109.97</v>
      </c>
    </row>
    <row r="82" customFormat="false" ht="12.8" hidden="false" customHeight="false" outlineLevel="0" collapsed="false">
      <c r="A82" s="0" t="n">
        <v>281</v>
      </c>
      <c r="B82" s="0" t="s">
        <v>108</v>
      </c>
      <c r="C82" s="0" t="s">
        <v>10</v>
      </c>
      <c r="D82" s="0" t="n">
        <v>109.97</v>
      </c>
    </row>
    <row r="83" customFormat="false" ht="12.8" hidden="false" customHeight="false" outlineLevel="0" collapsed="false">
      <c r="A83" s="0" t="n">
        <v>484</v>
      </c>
      <c r="B83" s="0" t="s">
        <v>113</v>
      </c>
      <c r="C83" s="0" t="s">
        <v>6</v>
      </c>
      <c r="D83" s="0" t="n">
        <v>109.97</v>
      </c>
    </row>
    <row r="84" customFormat="false" ht="12.8" hidden="false" customHeight="false" outlineLevel="0" collapsed="false">
      <c r="A84" s="0" t="n">
        <v>188</v>
      </c>
      <c r="B84" s="0" t="s">
        <v>114</v>
      </c>
      <c r="C84" s="0" t="s">
        <v>7</v>
      </c>
      <c r="D84" s="0" t="n">
        <v>109.97</v>
      </c>
    </row>
    <row r="85" customFormat="false" ht="12.8" hidden="false" customHeight="false" outlineLevel="0" collapsed="false">
      <c r="A85" s="0" t="n">
        <v>470</v>
      </c>
      <c r="B85" s="0" t="s">
        <v>97</v>
      </c>
      <c r="C85" s="0" t="s">
        <v>9</v>
      </c>
      <c r="D85" s="0" t="n">
        <v>109.97</v>
      </c>
    </row>
    <row r="86" customFormat="false" ht="12.8" hidden="false" customHeight="false" outlineLevel="0" collapsed="false">
      <c r="A86" s="0" t="n">
        <v>180</v>
      </c>
      <c r="B86" s="0" t="s">
        <v>115</v>
      </c>
      <c r="C86" s="0" t="s">
        <v>10</v>
      </c>
      <c r="D86" s="0" t="n">
        <v>109.97</v>
      </c>
    </row>
    <row r="87" customFormat="false" ht="12.8" hidden="false" customHeight="false" outlineLevel="0" collapsed="false">
      <c r="A87" s="0" t="n">
        <v>312</v>
      </c>
      <c r="B87" s="0" t="s">
        <v>116</v>
      </c>
      <c r="C87" s="0" t="s">
        <v>6</v>
      </c>
      <c r="D87" s="0" t="n">
        <v>109.97</v>
      </c>
    </row>
    <row r="88" customFormat="false" ht="12.8" hidden="false" customHeight="false" outlineLevel="0" collapsed="false">
      <c r="A88" s="0" t="n">
        <v>74</v>
      </c>
      <c r="B88" s="0" t="s">
        <v>117</v>
      </c>
      <c r="C88" s="0" t="s">
        <v>9</v>
      </c>
      <c r="D88" s="0" t="n">
        <v>109.97</v>
      </c>
    </row>
    <row r="89" customFormat="false" ht="12.8" hidden="false" customHeight="false" outlineLevel="0" collapsed="false">
      <c r="A89" s="0" t="n">
        <v>255</v>
      </c>
      <c r="B89" s="0" t="s">
        <v>114</v>
      </c>
      <c r="C89" s="0" t="s">
        <v>8</v>
      </c>
      <c r="D89" s="0" t="n">
        <v>109.97</v>
      </c>
    </row>
    <row r="90" customFormat="false" ht="12.8" hidden="false" customHeight="false" outlineLevel="0" collapsed="false">
      <c r="A90" s="0" t="n">
        <v>172</v>
      </c>
      <c r="B90" s="0" t="s">
        <v>118</v>
      </c>
      <c r="C90" s="0" t="s">
        <v>6</v>
      </c>
      <c r="D90" s="0" t="n">
        <v>109.97</v>
      </c>
    </row>
    <row r="91" customFormat="false" ht="12.8" hidden="false" customHeight="false" outlineLevel="0" collapsed="false">
      <c r="A91" s="0" t="n">
        <v>153</v>
      </c>
      <c r="B91" s="0" t="s">
        <v>119</v>
      </c>
      <c r="C91" s="0" t="s">
        <v>8</v>
      </c>
      <c r="D91" s="0" t="n">
        <v>109.97</v>
      </c>
    </row>
    <row r="92" customFormat="false" ht="12.8" hidden="false" customHeight="false" outlineLevel="0" collapsed="false">
      <c r="A92" s="0" t="n">
        <v>508</v>
      </c>
      <c r="B92" s="0" t="s">
        <v>120</v>
      </c>
      <c r="C92" s="0" t="s">
        <v>7</v>
      </c>
      <c r="D92" s="0" t="n">
        <v>109.97</v>
      </c>
    </row>
    <row r="93" customFormat="false" ht="12.8" hidden="false" customHeight="false" outlineLevel="0" collapsed="false">
      <c r="A93" s="0" t="n">
        <v>644</v>
      </c>
      <c r="B93" s="0" t="s">
        <v>116</v>
      </c>
      <c r="C93" s="0" t="s">
        <v>7</v>
      </c>
      <c r="D93" s="0" t="n">
        <v>109.97</v>
      </c>
    </row>
    <row r="94" customFormat="false" ht="12.8" hidden="false" customHeight="false" outlineLevel="0" collapsed="false">
      <c r="A94" s="0" t="n">
        <v>120</v>
      </c>
      <c r="B94" s="0" t="s">
        <v>121</v>
      </c>
      <c r="C94" s="0" t="s">
        <v>6</v>
      </c>
      <c r="D94" s="0" t="n">
        <v>109.97</v>
      </c>
    </row>
    <row r="95" customFormat="false" ht="12.8" hidden="false" customHeight="false" outlineLevel="0" collapsed="false">
      <c r="A95" s="0" t="n">
        <v>417</v>
      </c>
      <c r="B95" s="0" t="s">
        <v>122</v>
      </c>
      <c r="C95" s="0" t="s">
        <v>6</v>
      </c>
      <c r="D95" s="0" t="n">
        <v>109.97</v>
      </c>
    </row>
    <row r="96" customFormat="false" ht="12.8" hidden="false" customHeight="false" outlineLevel="0" collapsed="false">
      <c r="A96" s="0" t="n">
        <v>809</v>
      </c>
      <c r="B96" s="0" t="s">
        <v>57</v>
      </c>
      <c r="C96" s="0" t="s">
        <v>8</v>
      </c>
      <c r="D96" s="0" t="n">
        <v>109.96</v>
      </c>
    </row>
    <row r="97" customFormat="false" ht="12.8" hidden="false" customHeight="false" outlineLevel="0" collapsed="false">
      <c r="A97" s="0" t="n">
        <v>789</v>
      </c>
      <c r="B97" s="0" t="s">
        <v>123</v>
      </c>
      <c r="C97" s="0" t="s">
        <v>6</v>
      </c>
      <c r="D97" s="0" t="n">
        <v>109.96</v>
      </c>
    </row>
    <row r="98" customFormat="false" ht="12.8" hidden="false" customHeight="false" outlineLevel="0" collapsed="false">
      <c r="A98" s="0" t="n">
        <v>984</v>
      </c>
      <c r="B98" s="0" t="s">
        <v>110</v>
      </c>
      <c r="C98" s="0" t="s">
        <v>10</v>
      </c>
      <c r="D98" s="0" t="n">
        <v>109.96</v>
      </c>
    </row>
    <row r="99" customFormat="false" ht="12.8" hidden="false" customHeight="false" outlineLevel="0" collapsed="false">
      <c r="A99" s="0" t="n">
        <v>341</v>
      </c>
      <c r="B99" s="0" t="s">
        <v>124</v>
      </c>
      <c r="C99" s="0" t="s">
        <v>7</v>
      </c>
      <c r="D99" s="0" t="n">
        <v>109.96</v>
      </c>
    </row>
    <row r="100" customFormat="false" ht="12.8" hidden="false" customHeight="false" outlineLevel="0" collapsed="false">
      <c r="A100" s="0" t="n">
        <v>869</v>
      </c>
      <c r="B100" s="0" t="s">
        <v>124</v>
      </c>
      <c r="C100" s="0" t="s">
        <v>8</v>
      </c>
      <c r="D100" s="0" t="n">
        <v>109.96</v>
      </c>
    </row>
    <row r="101" customFormat="false" ht="12.8" hidden="false" customHeight="false" outlineLevel="0" collapsed="false">
      <c r="A101" s="0" t="n">
        <v>424</v>
      </c>
      <c r="B101" s="0" t="s">
        <v>54</v>
      </c>
      <c r="C101" s="0" t="s">
        <v>7</v>
      </c>
      <c r="D101" s="0" t="n">
        <v>109.96</v>
      </c>
    </row>
    <row r="102" customFormat="false" ht="12.8" hidden="false" customHeight="false" outlineLevel="0" collapsed="false">
      <c r="A102" s="0" t="n">
        <v>495</v>
      </c>
      <c r="B102" s="0" t="s">
        <v>66</v>
      </c>
      <c r="C102" s="0" t="s">
        <v>9</v>
      </c>
      <c r="D102" s="0" t="n">
        <v>104.96</v>
      </c>
    </row>
    <row r="103" customFormat="false" ht="12.8" hidden="false" customHeight="false" outlineLevel="0" collapsed="false">
      <c r="A103" s="0" t="n">
        <v>271</v>
      </c>
      <c r="B103" s="0" t="s">
        <v>125</v>
      </c>
      <c r="C103" s="0" t="s">
        <v>6</v>
      </c>
      <c r="D103" s="0" t="n">
        <v>104.96</v>
      </c>
    </row>
    <row r="104" customFormat="false" ht="12.8" hidden="false" customHeight="false" outlineLevel="0" collapsed="false">
      <c r="A104" s="0" t="n">
        <v>465</v>
      </c>
      <c r="B104" s="0" t="s">
        <v>126</v>
      </c>
      <c r="C104" s="0" t="s">
        <v>7</v>
      </c>
      <c r="D104" s="0" t="n">
        <v>104.96</v>
      </c>
    </row>
    <row r="105" customFormat="false" ht="12.8" hidden="false" customHeight="false" outlineLevel="0" collapsed="false">
      <c r="A105" s="0" t="n">
        <v>774</v>
      </c>
      <c r="B105" s="0" t="s">
        <v>127</v>
      </c>
      <c r="C105" s="0" t="s">
        <v>8</v>
      </c>
      <c r="D105" s="0" t="n">
        <v>104.96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landscape"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5"/>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selection pane="topLeft" activeCell="C23" activeCellId="0" sqref="C23"/>
    </sheetView>
  </sheetViews>
  <sheetFormatPr defaultColWidth="11.53515625" defaultRowHeight="12.8" customHeight="false" zeroHeight="false" outlineLevelRow="0" outlineLevelCol="0"/>
  <cols>
    <col collapsed="false" customWidth="true" hidden="false" outlineLevel="0" max="1" min="1" style="0" width="17.95"/>
    <col collapsed="false" customWidth="true" hidden="false" outlineLevel="0" max="2" min="2" style="0" width="33.56"/>
    <col collapsed="false" customWidth="true" hidden="false" outlineLevel="0" max="3" min="3" style="0" width="55.39"/>
  </cols>
  <sheetData>
    <row r="1" customFormat="false" ht="12.8" hidden="false" customHeight="false" outlineLevel="0" collapsed="false">
      <c r="A1" s="49" t="s">
        <v>48</v>
      </c>
      <c r="B1" s="50" t="s">
        <v>47</v>
      </c>
      <c r="C1" s="51" t="s">
        <v>128</v>
      </c>
    </row>
    <row r="2" customFormat="false" ht="12.8" hidden="false" customHeight="false" outlineLevel="0" collapsed="false">
      <c r="A2" s="52" t="s">
        <v>59</v>
      </c>
      <c r="B2" s="53" t="n">
        <v>539</v>
      </c>
      <c r="C2" s="54" t="n">
        <v>159.95</v>
      </c>
    </row>
    <row r="3" customFormat="false" ht="12.8" hidden="false" customHeight="false" outlineLevel="0" collapsed="false">
      <c r="A3" s="52" t="s">
        <v>60</v>
      </c>
      <c r="B3" s="53" t="n">
        <v>382</v>
      </c>
      <c r="C3" s="54" t="n">
        <v>159.95</v>
      </c>
    </row>
    <row r="4" customFormat="false" ht="12.8" hidden="false" customHeight="false" outlineLevel="0" collapsed="false">
      <c r="A4" s="52" t="s">
        <v>58</v>
      </c>
      <c r="B4" s="53" t="n">
        <v>778</v>
      </c>
      <c r="C4" s="54" t="n">
        <v>159.95</v>
      </c>
    </row>
    <row r="5" customFormat="false" ht="12.8" hidden="false" customHeight="false" outlineLevel="0" collapsed="false">
      <c r="A5" s="52" t="s">
        <v>51</v>
      </c>
      <c r="B5" s="53" t="n">
        <v>400</v>
      </c>
      <c r="C5" s="54" t="n">
        <v>159.96</v>
      </c>
    </row>
    <row r="6" customFormat="false" ht="12.8" hidden="false" customHeight="false" outlineLevel="0" collapsed="false">
      <c r="A6" s="52" t="s">
        <v>55</v>
      </c>
      <c r="B6" s="53" t="n">
        <v>301</v>
      </c>
      <c r="C6" s="54" t="n">
        <v>159.96</v>
      </c>
    </row>
    <row r="7" customFormat="false" ht="12.8" hidden="false" customHeight="false" outlineLevel="0" collapsed="false">
      <c r="A7" s="52" t="s">
        <v>54</v>
      </c>
      <c r="B7" s="53" t="n">
        <v>173</v>
      </c>
      <c r="C7" s="54" t="n">
        <v>159.96</v>
      </c>
    </row>
    <row r="8" customFormat="false" ht="12.8" hidden="false" customHeight="false" outlineLevel="0" collapsed="false">
      <c r="A8" s="52" t="s">
        <v>56</v>
      </c>
      <c r="B8" s="53" t="n">
        <v>912</v>
      </c>
      <c r="C8" s="54" t="n">
        <v>159.96</v>
      </c>
    </row>
    <row r="9" customFormat="false" ht="12.8" hidden="false" customHeight="false" outlineLevel="0" collapsed="false">
      <c r="A9" s="55" t="s">
        <v>49</v>
      </c>
      <c r="B9" s="56" t="n">
        <v>681</v>
      </c>
      <c r="C9" s="57" t="n">
        <v>159.96</v>
      </c>
    </row>
    <row r="10" customFormat="false" ht="12.8" hidden="false" customHeight="false" outlineLevel="0" collapsed="false">
      <c r="A10" s="52" t="s">
        <v>52</v>
      </c>
      <c r="B10" s="53" t="n">
        <v>544</v>
      </c>
      <c r="C10" s="54" t="n">
        <v>159.96</v>
      </c>
    </row>
    <row r="11" customFormat="false" ht="12.8" hidden="false" customHeight="false" outlineLevel="0" collapsed="false">
      <c r="A11" s="52" t="s">
        <v>57</v>
      </c>
      <c r="B11" s="53" t="n">
        <v>253</v>
      </c>
      <c r="C11" s="54" t="n">
        <v>159.96</v>
      </c>
    </row>
    <row r="12" customFormat="false" ht="12.8" hidden="false" customHeight="false" outlineLevel="0" collapsed="false">
      <c r="A12" s="52" t="s">
        <v>50</v>
      </c>
      <c r="B12" s="53" t="n">
        <v>817</v>
      </c>
      <c r="C12" s="54" t="n">
        <v>159.96</v>
      </c>
    </row>
    <row r="13" customFormat="false" ht="12.8" hidden="false" customHeight="false" outlineLevel="0" collapsed="false">
      <c r="A13" s="52" t="s">
        <v>53</v>
      </c>
      <c r="B13" s="53" t="n">
        <v>150</v>
      </c>
      <c r="C13" s="54" t="n">
        <v>159.96</v>
      </c>
    </row>
    <row r="14" customFormat="false" ht="12.8" hidden="false" customHeight="false" outlineLevel="0" collapsed="false">
      <c r="A14" s="52" t="s">
        <v>27</v>
      </c>
      <c r="B14" s="53" t="n">
        <v>156</v>
      </c>
      <c r="C14" s="54" t="n">
        <v>159.96</v>
      </c>
    </row>
    <row r="15" customFormat="false" ht="12.8" hidden="false" customHeight="false" outlineLevel="0" collapsed="false">
      <c r="A15" s="52" t="s">
        <v>28</v>
      </c>
      <c r="B15" s="53" t="n">
        <v>171</v>
      </c>
      <c r="C15" s="54" t="n">
        <v>159.96</v>
      </c>
    </row>
    <row r="16" customFormat="false" ht="12.8" hidden="false" customHeight="false" outlineLevel="0" collapsed="false">
      <c r="A16" s="52" t="s">
        <v>29</v>
      </c>
      <c r="B16" s="53" t="n">
        <v>167</v>
      </c>
      <c r="C16" s="54" t="n">
        <v>164.96</v>
      </c>
    </row>
    <row r="17" customFormat="false" ht="12.8" hidden="false" customHeight="false" outlineLevel="0" collapsed="false">
      <c r="A17" s="52" t="s">
        <v>30</v>
      </c>
      <c r="B17" s="53" t="n">
        <v>592</v>
      </c>
      <c r="C17" s="54" t="n">
        <v>164.96</v>
      </c>
    </row>
    <row r="18" customFormat="false" ht="12.8" hidden="false" customHeight="false" outlineLevel="0" collapsed="false">
      <c r="A18" s="52" t="s">
        <v>31</v>
      </c>
      <c r="B18" s="53" t="n">
        <v>534</v>
      </c>
      <c r="C18" s="54" t="n">
        <v>174.95</v>
      </c>
    </row>
    <row r="19" customFormat="false" ht="12.8" hidden="false" customHeight="false" outlineLevel="0" collapsed="false">
      <c r="A19" s="52" t="s">
        <v>32</v>
      </c>
      <c r="B19" s="53" t="n">
        <v>850</v>
      </c>
      <c r="C19" s="54" t="n">
        <v>179.96</v>
      </c>
    </row>
    <row r="20" customFormat="false" ht="12.8" hidden="false" customHeight="false" outlineLevel="0" collapsed="false">
      <c r="A20" s="52" t="s">
        <v>34</v>
      </c>
      <c r="B20" s="53" t="n">
        <v>975</v>
      </c>
      <c r="C20" s="54" t="n">
        <v>189.95</v>
      </c>
    </row>
    <row r="21" customFormat="false" ht="12.8" hidden="false" customHeight="false" outlineLevel="0" collapsed="false">
      <c r="A21" s="52" t="s">
        <v>35</v>
      </c>
      <c r="B21" s="53" t="n">
        <v>483</v>
      </c>
      <c r="C21" s="54" t="n">
        <v>219.92</v>
      </c>
    </row>
    <row r="22" customFormat="false" ht="12.8" hidden="false" customHeight="false" outlineLevel="0" collapsed="false">
      <c r="A22" s="52" t="s">
        <v>36</v>
      </c>
      <c r="B22" s="53" t="n">
        <v>313</v>
      </c>
      <c r="C22" s="54" t="n">
        <v>229.95</v>
      </c>
    </row>
    <row r="23" customFormat="false" ht="12.8" hidden="false" customHeight="false" outlineLevel="0" collapsed="false">
      <c r="A23" s="52" t="s">
        <v>37</v>
      </c>
      <c r="B23" s="53" t="n">
        <v>525</v>
      </c>
      <c r="C23" s="54" t="n">
        <v>239.93</v>
      </c>
    </row>
    <row r="24" customFormat="false" ht="12.8" hidden="false" customHeight="false" outlineLevel="0" collapsed="false">
      <c r="A24" s="58"/>
      <c r="B24" s="59" t="n">
        <v>931</v>
      </c>
      <c r="C24" s="60" t="n">
        <v>249.95</v>
      </c>
    </row>
    <row r="25" customFormat="false" ht="12.8" hidden="false" customHeight="false" outlineLevel="0" collapsed="false">
      <c r="A25" s="61" t="s">
        <v>33</v>
      </c>
      <c r="B25" s="62"/>
      <c r="C25" s="63" t="n">
        <v>4053.94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landscape"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2"/>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21.29"/>
    <col collapsed="false" customWidth="true" hidden="false" outlineLevel="0" max="2" min="2" style="0" width="36.53"/>
  </cols>
  <sheetData>
    <row r="1" customFormat="false" ht="12.8" hidden="false" customHeight="false" outlineLevel="0" collapsed="false">
      <c r="A1" s="64" t="s">
        <v>129</v>
      </c>
    </row>
    <row r="2" customFormat="false" ht="12.8" hidden="false" customHeight="false" outlineLevel="0" collapsed="false">
      <c r="A2" s="65"/>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landscape"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LibreOffice/26.2.3.2$Windows_X86_64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2026-05-24T12:05:53Z</dcterms:created>
  <dc:creator/>
  <dc:description/>
  <dc:language>en-GB</dc:language>
  <cp:lastModifiedBy/>
  <dcterms:modified xsi:type="dcterms:W3CDTF">2026-05-24T15:26:18Z</dcterms:modified>
  <cp:revision>2</cp:revision>
  <dc:subject/>
  <dc:title/>
</cp:coreProperties>
</file>